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1" name="BG_ChemX 119266 A" state="visible" r:id="rId4"/>
    <sheet sheetId="12" name="Sheet1" state="visible" r:id="rId5"/>
  </sheets>
  <definedNames>
    <definedName name="_xlnm.Print_Area" localSheetId="0">'BG_ChemX 119266 A'!$B3:$J56</definedName>
    <definedName name="_xlnm.Print_Area" localSheetId="1">'Sheet1'!$A1:$H21</definedName>
  </definedNames>
  <calcPr calcId="171027"/>
</workbook>
</file>

<file path=xl/sharedStrings.xml><?xml version="1.0" encoding="utf-8"?>
<sst xmlns="http://schemas.openxmlformats.org/spreadsheetml/2006/main" count="180" uniqueCount="119">
  <si>
    <t>Tanggal produksi</t>
  </si>
  <si>
    <t>Nama Produk</t>
  </si>
  <si>
    <t>ChemX 119266 A</t>
  </si>
  <si>
    <t>Batch No.</t>
  </si>
  <si>
    <t>20.02.25.TANK 2-01</t>
  </si>
  <si>
    <t>BLENDING GUIDE &amp; SPKP</t>
  </si>
  <si>
    <t>No Resep</t>
  </si>
  <si>
    <t>002/BG/MIB/II-24</t>
  </si>
  <si>
    <t>Tank No.</t>
  </si>
  <si>
    <t>TANK 2</t>
  </si>
  <si>
    <t>Keterangan</t>
  </si>
  <si>
    <t>ITS - 428Wn/ITS-PO/I/2025</t>
  </si>
  <si>
    <t>Jumlah produksi/batch</t>
  </si>
  <si>
    <t>Versi</t>
  </si>
  <si>
    <t>: 2</t>
  </si>
  <si>
    <t>PT. Mandiri Inovasi Bersama</t>
  </si>
  <si>
    <t>Jumlah Produksi (kg)</t>
  </si>
  <si>
    <t>Page</t>
  </si>
  <si>
    <t>: 1/1</t>
  </si>
  <si>
    <t>Resep</t>
  </si>
  <si>
    <t xml:space="preserve">Tgl Cetak BG </t>
  </si>
  <si>
    <t>No</t>
  </si>
  <si>
    <t>Nama barang</t>
  </si>
  <si>
    <t>SG (kg/l)</t>
  </si>
  <si>
    <t>Fomula (%b/b)</t>
  </si>
  <si>
    <t>Komposisi (kg)</t>
  </si>
  <si>
    <t>Disiapkan</t>
  </si>
  <si>
    <t>Dipakai</t>
  </si>
  <si>
    <t>Sisa</t>
  </si>
  <si>
    <t>Air</t>
  </si>
  <si>
    <t>gr</t>
  </si>
  <si>
    <t>PA 139</t>
  </si>
  <si>
    <t>CF 091</t>
  </si>
  <si>
    <t>HE 140</t>
  </si>
  <si>
    <t>TT 092</t>
  </si>
  <si>
    <t>BC Sagara</t>
  </si>
  <si>
    <t>Total</t>
  </si>
  <si>
    <t>Pelindung diri</t>
  </si>
  <si>
    <t>Kaca mata</t>
  </si>
  <si>
    <t>Sepatu safety</t>
  </si>
  <si>
    <t xml:space="preserve"> </t>
  </si>
  <si>
    <t>Sarung tangan karet</t>
  </si>
  <si>
    <t>Semua bahan kimia yang digunakan tidak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</si>
  <si>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</si>
  <si>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</si>
  <si>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</si>
  <si>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</si>
  <si>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</si>
  <si>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</si>
  <si>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</si>
  <si>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Timbang air sebanyak yang dibutuhkan dan masukan dalam tangki pengadukan</t>
  </si>
  <si>
    <t>Masukan CF 091 dan TT 092 aduk sampai larut dan bening</t>
  </si>
  <si>
    <t>Tambahkan HE 140 aduk sampai larut</t>
  </si>
  <si>
    <t>Terakhir masukan PA 139 aduk sampai larut dan bening</t>
  </si>
  <si>
    <t>Bila sudah selesai ambil sampel untuk analisa lab</t>
  </si>
  <si>
    <t>Bila hasil lab OK, kemas sesuai kebutuhan</t>
  </si>
  <si>
    <t>Quality control</t>
  </si>
  <si>
    <t>(Diisi oleh bagian QC Lab.)</t>
  </si>
  <si>
    <t>Produk Jadi</t>
  </si>
  <si>
    <t>QC BB</t>
  </si>
  <si>
    <t>Parameter</t>
  </si>
  <si>
    <t>Teori</t>
  </si>
  <si>
    <t>Real</t>
  </si>
  <si>
    <t>QC Dec</t>
  </si>
  <si>
    <t xml:space="preserve">Tampilan </t>
  </si>
  <si>
    <t>Cair bening</t>
  </si>
  <si>
    <t>pH</t>
  </si>
  <si>
    <t>12.00-13.00</t>
  </si>
  <si>
    <t>SG</t>
  </si>
  <si>
    <t>1.05-1.07</t>
  </si>
  <si>
    <t>Busa</t>
  </si>
  <si>
    <t>Warna</t>
  </si>
  <si>
    <t>-</t>
  </si>
  <si>
    <t>Aroma</t>
  </si>
  <si>
    <t>Kemasan ( Diisi bagian PPIC )</t>
  </si>
  <si>
    <t>Jerigen  5 liter</t>
  </si>
  <si>
    <t>⃝</t>
  </si>
  <si>
    <t>Drum 200 liter</t>
  </si>
  <si>
    <t>Jerigen  20 liter</t>
  </si>
  <si>
    <t>IBC Tank 1000 L</t>
  </si>
  <si>
    <t>Jerigen 25 liter</t>
  </si>
  <si>
    <t>Label</t>
  </si>
  <si>
    <t>Tanpa label (polos)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</si>
  <si>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</si>
  <si>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</si>
  <si>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</si>
  <si>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</si>
  <si>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</si>
  <si>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</si>
  <si>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</si>
  <si>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</si>
  <si>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</si>
  <si>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</si>
  <si>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</si>
  <si>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</si>
  <si>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</si>
  <si>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</si>
  <si>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</si>
  <si>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</si>
  <si>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</si>
  <si>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</si>
  <si>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</si>
  <si>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</si>
  <si>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</si>
  <si>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Kemasan</t>
  </si>
  <si>
    <t xml:space="preserve">Jerigen Putih susu </t>
  </si>
  <si>
    <t>Target Kirim</t>
  </si>
  <si>
    <t>Isi Per Kemasan</t>
  </si>
  <si>
    <t>liter</t>
  </si>
  <si>
    <t>NO</t>
  </si>
  <si>
    <t>KodeBarang</t>
  </si>
  <si>
    <t>NamaBarang</t>
  </si>
  <si>
    <t>Qty</t>
  </si>
  <si>
    <t>Unit (KG)</t>
  </si>
  <si>
    <t>pc</t>
  </si>
  <si>
    <t>LOGISTIC</t>
  </si>
  <si>
    <t>(</t>
  </si>
  <si>
    <t>)</t>
  </si>
  <si>
    <t>Unit (L/KG)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</si>
</sst>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1009]d/mmm/yy;@"/>
    <numFmt numFmtId="165" formatCode="0.000_ "/>
    <numFmt numFmtId="166" formatCode="0.0_ "/>
    <numFmt numFmtId="167" formatCode="[$-409]d-mmm-yy;@"/>
    <numFmt numFmtId="168" formatCode="#,##0.000"/>
  </numFmts>
  <fonts count="26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1"/>
      <sz val="11"/>
      <name val="Times New Roman"/>
    </font>
    <font>
      <b/>
      <family val="1"/>
      <sz val="12"/>
      <name val="Times New Roman"/>
    </font>
    <font>
      <b/>
      <charset val="128"/>
      <family val="3"/>
      <sz val="11"/>
      <name val="ＭＳ Ｐゴシック"/>
    </font>
    <font>
      <color rgb="FFFF0000"/>
      <family val="1"/>
      <sz val="11"/>
      <name val="Times New Roman"/>
    </font>
    <font>
      <b/>
      <family val="1"/>
      <sz val="11"/>
      <name val="Times New Roman"/>
    </font>
    <font>
      <b/>
      <sz val="11"/>
      <name val="ＭＳ Ｐゴシック"/>
    </font>
    <font>
      <family val="1"/>
      <sz val="14"/>
      <name val="Times New Roman"/>
    </font>
    <font>
      <b/>
      <family val="1"/>
      <strike/>
      <sz val="11"/>
      <name val="Times New Roman"/>
    </font>
    <font>
      <u val="double"/>
      <color theme="0"/>
      <family val="1"/>
      <strike/>
      <sz val="11"/>
      <name val="Times New Roman"/>
    </font>
    <font>
      <b/>
      <color theme="1"/>
      <family val="1"/>
      <sz val="12"/>
      <name val="Times New Roman"/>
    </font>
    <font>
      <color theme="0"/>
      <family val="1"/>
      <sz val="11"/>
      <name val="Times New Roman"/>
    </font>
    <font>
      <charset val="128"/>
      <color theme="0"/>
      <family val="3"/>
      <sz val="11"/>
      <name val="ＭＳ Ｐゴシック"/>
    </font>
    <font>
      <u val="double"/>
      <color rgb="FFFF0000"/>
      <family val="1"/>
      <strike/>
      <sz val="11"/>
      <name val="Times New Roman"/>
    </font>
    <font>
      <u val="double"/>
      <color theme="1"/>
      <family val="1"/>
      <strike/>
      <sz val="11"/>
      <name val="Times New Roman"/>
    </font>
    <font>
      <family val="1"/>
      <scheme val="major"/>
      <sz val="11"/>
      <name val="Cambria"/>
    </font>
    <font>
      <color theme="1"/>
      <family val="1"/>
      <sz val="11"/>
      <name val="Times New Roman"/>
    </font>
    <font>
      <color rgb="FF00B0F0"/>
      <family val="1"/>
      <sz val="11"/>
      <name val="Times New Roman"/>
    </font>
    <font>
      <family val="2"/>
      <sz val="11"/>
      <name val="Calibri"/>
    </font>
    <font>
      <b/>
      <color rgb="FF000000"/>
      <family val="2"/>
      <scheme val="minor"/>
      <sz val="16"/>
      <name val="Calibri"/>
    </font>
    <font>
      <color rgb="FF000000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charset val="128"/>
      <color rgb="FFFF0000"/>
      <family val="3"/>
      <sz val="11"/>
      <name val="ＭＳ Ｐゴシック"/>
    </font>
    <font>
      <b/>
      <color rgb="FFFF0000"/>
      <sz val="11"/>
      <name val="ＭＳ Ｐゴシック"/>
    </font>
    <font>
      <b/>
      <color rgb="FF000000"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15" fontId="4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0" borderId="32" xfId="0" applyFont="1" applyBorder="1" applyAlignment="1">
      <alignment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9" fillId="2" borderId="3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165" fontId="11" fillId="0" borderId="37" xfId="0" applyNumberFormat="1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38" fontId="13" fillId="0" borderId="12" xfId="0" applyNumberFormat="1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12" fillId="0" borderId="1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5" fillId="0" borderId="43" xfId="0" applyFont="1" applyBorder="1" applyAlignment="1">
      <alignment horizontal="center" vertical="center"/>
    </xf>
    <xf numFmtId="166" fontId="6" fillId="0" borderId="44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38" fontId="13" fillId="0" borderId="0" xfId="0" applyNumberFormat="1" applyFont="1" applyAlignment="1">
      <alignment vertical="center"/>
    </xf>
    <xf numFmtId="38" fontId="13" fillId="0" borderId="32" xfId="0" applyNumberFormat="1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1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1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18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32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39" xfId="0" applyFont="1" applyBorder="1" applyAlignment="1">
      <alignment horizontal="left"/>
    </xf>
    <xf numFmtId="0" fontId="21" fillId="0" borderId="18" xfId="0" applyFont="1" applyBorder="1" applyAlignment="1">
      <alignment horizontal="left"/>
    </xf>
    <xf numFmtId="0" fontId="21" fillId="0" borderId="18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2" fillId="0" borderId="3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167" fontId="23" fillId="0" borderId="0" xfId="0" applyNumberFormat="1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4" fillId="0" borderId="0" xfId="0" applyFont="1" applyAlignment="1">
      <alignment horizontal="left" vertical="top" wrapText="1"/>
    </xf>
    <xf numFmtId="0" fontId="24" fillId="0" borderId="32" xfId="0" applyFont="1" applyBorder="1" applyAlignment="1">
      <alignment horizontal="left" vertical="top" wrapText="1"/>
    </xf>
    <xf numFmtId="0" fontId="22" fillId="0" borderId="31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3" fillId="0" borderId="0" xfId="0" applyFont="1"/>
    <xf numFmtId="0" fontId="4" fillId="0" borderId="10" xfId="0" applyFont="1" applyBorder="1"/>
    <xf numFmtId="0" fontId="23" fillId="0" borderId="0" xfId="0" applyFont="1" applyAlignment="1">
      <alignment wrapText="1"/>
    </xf>
    <xf numFmtId="0" fontId="22" fillId="0" borderId="0" xfId="0" applyFont="1" applyAlignment="1">
      <alignment horizontal="left"/>
    </xf>
    <xf numFmtId="0" fontId="1" fillId="0" borderId="32" xfId="0" applyFont="1" applyBorder="1"/>
    <xf numFmtId="0" fontId="21" fillId="0" borderId="31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167" fontId="23" fillId="0" borderId="0" xfId="0" applyNumberFormat="1" applyFont="1" applyAlignment="1">
      <alignment horizontal="left"/>
    </xf>
    <xf numFmtId="0" fontId="4" fillId="0" borderId="15" xfId="0" applyFont="1" applyBorder="1"/>
    <xf numFmtId="167" fontId="23" fillId="0" borderId="51" xfId="0" applyNumberFormat="1" applyFont="1" applyBorder="1"/>
    <xf numFmtId="0" fontId="22" fillId="0" borderId="51" xfId="0" applyFont="1" applyBorder="1" applyAlignment="1">
      <alignment horizontal="left"/>
    </xf>
    <xf numFmtId="0" fontId="23" fillId="0" borderId="51" xfId="0" applyFont="1" applyBorder="1"/>
    <xf numFmtId="0" fontId="21" fillId="0" borderId="16" xfId="0" applyFont="1" applyBorder="1" applyAlignment="1">
      <alignment horizontal="center"/>
    </xf>
    <xf numFmtId="0" fontId="1" fillId="0" borderId="0" xfId="0" applyFont="1"/>
    <xf numFmtId="0" fontId="21" fillId="0" borderId="32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wrapText="1"/>
    </xf>
    <xf numFmtId="168" fontId="25" fillId="0" borderId="12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wrapText="1"/>
    </xf>
    <xf numFmtId="3" fontId="25" fillId="0" borderId="12" xfId="0" applyNumberFormat="1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0" fontId="21" fillId="0" borderId="32" xfId="0" applyFont="1" applyBorder="1"/>
    <xf numFmtId="0" fontId="21" fillId="0" borderId="31" xfId="0" applyFont="1" applyBorder="1"/>
    <xf numFmtId="0" fontId="21" fillId="0" borderId="0" xfId="0" applyFont="1"/>
    <xf numFmtId="0" fontId="1" fillId="0" borderId="31" xfId="0" applyFont="1" applyBorder="1"/>
    <xf numFmtId="0" fontId="1" fillId="0" borderId="0" xfId="0" applyFont="1" applyAlignment="1">
      <alignment horizontal="right"/>
    </xf>
    <xf numFmtId="0" fontId="21" fillId="0" borderId="50" xfId="0" applyFont="1" applyBorder="1"/>
    <xf numFmtId="0" fontId="21" fillId="0" borderId="27" xfId="0" applyFont="1" applyBorder="1"/>
    <xf numFmtId="0" fontId="21" fillId="0" borderId="46" xfId="0" applyFont="1" applyBorder="1"/>
    <xf numFmtId="0" fontId="1" fillId="0" borderId="10" xfId="0" applyFont="1" applyBorder="1"/>
    <xf numFmtId="0" fontId="21" fillId="0" borderId="10" xfId="0" applyFont="1" applyBorder="1" applyAlignment="1">
      <alignment horizontal="left"/>
    </xf>
    <xf numFmtId="0" fontId="1" fillId="0" borderId="15" xfId="0" applyFont="1" applyBorder="1"/>
    <xf numFmtId="0" fontId="1" fillId="0" borderId="51" xfId="0" applyFont="1" applyBorder="1"/>
    <xf numFmtId="0" fontId="21" fillId="0" borderId="51" xfId="0" applyFont="1" applyBorder="1" applyAlignment="1">
      <alignment horizontal="left"/>
    </xf>
    <xf numFmtId="0" fontId="2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195667</xdr:colOff>
      <xdr:row>2</xdr:row>
      <xdr:rowOff>269507</xdr:rowOff>
    </xdr:from>
    <xdr:to>
      <xdr:col>1</xdr:col>
      <xdr:colOff>723604</xdr:colOff>
      <xdr:row>4</xdr:row>
      <xdr:rowOff>83437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7620</xdr:rowOff>
    </xdr:from>
    <xdr:to>
      <xdr:col>1</xdr:col>
      <xdr:colOff>91440</xdr:colOff>
      <xdr:row>2</xdr:row>
      <xdr:rowOff>99060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6"/>
  <sheetViews>
    <sheetView workbookViewId="0" zoomScale="86" zoomScaleNormal="86">
      <selection activeCell="F3" sqref="F3"/>
    </sheetView>
  </sheetViews>
  <sheetFormatPr defaultRowHeight="13.2" outlineLevelRow="0" outlineLevelCol="0" x14ac:dyDescent="0" customHeight="1"/>
  <cols>
    <col min="2" max="2" width="13.6640625" customWidth="1"/>
    <col min="3" max="3" width="15.6640625" customWidth="1"/>
    <col min="4" max="4" width="10" customWidth="1"/>
    <col min="5" max="5" width="14.109375" customWidth="1"/>
    <col min="6" max="6" width="19.5546875" customWidth="1"/>
    <col min="8" max="8" width="12.44140625" customWidth="1"/>
    <col min="9" max="9" width="10.44140625" customWidth="1"/>
    <col min="10" max="10" width="10.21875" customWidth="1"/>
  </cols>
  <sheetData>
    <row r="2" ht="13.8" customHeight="1" x14ac:dyDescent="0.25"/>
    <row r="3" ht="40.2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7" t="s">
        <v>4</v>
      </c>
      <c r="I3" s="8" t="s">
        <v>5</v>
      </c>
      <c r="J3" s="9"/>
    </row>
    <row r="4" ht="13.8" customHeight="1" spans="2:10" x14ac:dyDescent="0.25">
      <c r="B4" s="10"/>
      <c r="C4" s="11"/>
      <c r="D4" s="12" t="s">
        <v>6</v>
      </c>
      <c r="E4" s="13"/>
      <c r="F4" s="14" t="s">
        <v>7</v>
      </c>
      <c r="G4" s="15" t="s">
        <v>8</v>
      </c>
      <c r="H4" s="13" t="s">
        <v>9</v>
      </c>
      <c r="I4" s="16"/>
      <c r="J4" s="17"/>
    </row>
    <row r="5" ht="27.6" customHeight="1" spans="2:10" x14ac:dyDescent="0.25">
      <c r="B5" s="18"/>
      <c r="C5" s="19"/>
      <c r="D5" s="12" t="s">
        <v>10</v>
      </c>
      <c r="E5" s="13"/>
      <c r="F5" s="20" t="s">
        <v>11</v>
      </c>
      <c r="G5" s="21" t="s">
        <v>12</v>
      </c>
      <c r="H5" s="22"/>
      <c r="I5" s="23" t="s">
        <v>13</v>
      </c>
      <c r="J5" s="24" t="s">
        <v>14</v>
      </c>
    </row>
    <row r="6" ht="18.6" customHeight="1" spans="2:10" x14ac:dyDescent="0.25">
      <c r="B6" s="25" t="s">
        <v>15</v>
      </c>
      <c r="C6" s="26"/>
      <c r="D6" s="27" t="s">
        <v>16</v>
      </c>
      <c r="E6" s="28">
        <v>100</v>
      </c>
      <c r="F6" s="29">
        <v>200</v>
      </c>
      <c r="G6" s="30"/>
      <c r="H6" s="31"/>
      <c r="I6" s="32" t="s">
        <v>17</v>
      </c>
      <c r="J6" s="33" t="s">
        <v>18</v>
      </c>
    </row>
    <row r="7" ht="14.4" customHeight="1" spans="2:10" x14ac:dyDescent="0.25">
      <c r="B7" s="34" t="s">
        <v>19</v>
      </c>
      <c r="C7" s="35"/>
      <c r="D7" s="36" t="s">
        <v>20</v>
      </c>
      <c r="E7" s="36"/>
      <c r="F7" s="37">
        <v>45677</v>
      </c>
      <c r="G7" s="36"/>
      <c r="H7" s="36"/>
      <c r="J7" s="38"/>
    </row>
    <row r="8" ht="13.8" customHeight="1" spans="2:10" x14ac:dyDescent="0.25">
      <c r="B8" s="39" t="s">
        <v>21</v>
      </c>
      <c r="C8" s="40" t="s">
        <v>22</v>
      </c>
      <c r="D8" s="41" t="s">
        <v>23</v>
      </c>
      <c r="E8" s="42" t="s">
        <v>24</v>
      </c>
      <c r="F8" s="43" t="s">
        <v>25</v>
      </c>
      <c r="G8" s="36"/>
      <c r="H8" s="44" t="s">
        <v>26</v>
      </c>
      <c r="I8" s="45" t="s">
        <v>27</v>
      </c>
      <c r="J8" s="46" t="s">
        <v>28</v>
      </c>
    </row>
    <row r="9" ht="15.6" customHeight="1" spans="2:10" x14ac:dyDescent="0.25">
      <c r="B9" s="47">
        <v>1</v>
      </c>
      <c r="C9" s="48" t="s">
        <v>29</v>
      </c>
      <c r="D9" s="49"/>
      <c r="E9" s="50">
        <v>68.5</v>
      </c>
      <c r="F9" s="51">
        <f>(E9/100)*$F$6</f>
        <v>137</v>
      </c>
      <c r="G9" s="36" t="s">
        <v>30</v>
      </c>
      <c r="H9" s="52">
        <v>300</v>
      </c>
      <c r="I9" s="53">
        <f>E9*H9</f>
        <v>20550</v>
      </c>
      <c r="J9" s="54"/>
    </row>
    <row r="10" ht="15.6" customHeight="1" spans="2:10" x14ac:dyDescent="0.25">
      <c r="B10" s="47">
        <v>2</v>
      </c>
      <c r="C10" s="48" t="s">
        <v>31</v>
      </c>
      <c r="D10" s="49"/>
      <c r="E10" s="50">
        <v>16.1</v>
      </c>
      <c r="F10" s="51">
        <f>(E10/100)*$F$6</f>
        <v>32.2</v>
      </c>
      <c r="G10" s="36" t="s">
        <v>30</v>
      </c>
      <c r="H10" s="52">
        <v>18000</v>
      </c>
      <c r="I10" s="53">
        <f t="shared" ref="I10:I14" si="0">E10*H10</f>
        <v>289800</v>
      </c>
      <c r="J10" s="54"/>
    </row>
    <row r="11" ht="15.6" customHeight="1" spans="2:10" x14ac:dyDescent="0.25">
      <c r="B11" s="47">
        <v>3</v>
      </c>
      <c r="C11" s="48" t="s">
        <v>32</v>
      </c>
      <c r="D11" s="49"/>
      <c r="E11" s="50">
        <v>8</v>
      </c>
      <c r="F11" s="51">
        <f t="shared" ref="F11:F13" si="1">(E11/100)*$F$6</f>
        <v>16</v>
      </c>
      <c r="G11" s="36" t="s">
        <v>30</v>
      </c>
      <c r="H11" s="52">
        <v>22000</v>
      </c>
      <c r="I11" s="53">
        <f t="shared" si="0"/>
        <v>176000</v>
      </c>
      <c r="J11" s="54"/>
    </row>
    <row r="12" ht="15.6" customHeight="1" spans="2:10" x14ac:dyDescent="0.25">
      <c r="B12" s="47">
        <v>4</v>
      </c>
      <c r="C12" s="48" t="s">
        <v>33</v>
      </c>
      <c r="D12" s="49"/>
      <c r="E12" s="50">
        <v>6</v>
      </c>
      <c r="F12" s="51">
        <f t="shared" si="1"/>
        <v>12</v>
      </c>
      <c r="G12" s="36" t="s">
        <v>30</v>
      </c>
      <c r="H12" s="52">
        <v>265000</v>
      </c>
      <c r="I12" s="53">
        <f t="shared" si="0"/>
        <v>1590000</v>
      </c>
      <c r="J12" s="54"/>
    </row>
    <row r="13" ht="15.6" customHeight="1" spans="2:10" x14ac:dyDescent="0.25">
      <c r="B13" s="47">
        <v>5</v>
      </c>
      <c r="C13" s="55" t="s">
        <v>34</v>
      </c>
      <c r="D13" s="49"/>
      <c r="E13" s="56">
        <v>1.4</v>
      </c>
      <c r="F13" s="51">
        <f t="shared" si="1"/>
        <v>2.8</v>
      </c>
      <c r="G13" s="36" t="s">
        <v>30</v>
      </c>
      <c r="H13" s="57">
        <v>14500</v>
      </c>
      <c r="I13" s="53">
        <f t="shared" si="0"/>
        <v>20300</v>
      </c>
      <c r="J13" s="54" t="s">
        <v>35</v>
      </c>
    </row>
    <row r="14" ht="16.2" customHeight="1" spans="2:10" x14ac:dyDescent="0.25">
      <c r="B14" s="47"/>
      <c r="C14" s="58"/>
      <c r="D14" s="59">
        <v>1</v>
      </c>
      <c r="E14" s="60"/>
      <c r="F14" s="61"/>
      <c r="G14" s="62"/>
      <c r="H14" s="63">
        <v>55000</v>
      </c>
      <c r="I14" s="53">
        <f t="shared" si="0"/>
        <v>0</v>
      </c>
      <c r="J14" s="54"/>
    </row>
    <row r="15" ht="14.4" customHeight="1" spans="2:10" x14ac:dyDescent="0.25">
      <c r="B15" s="64"/>
      <c r="C15" s="36"/>
      <c r="D15" s="36"/>
      <c r="E15" s="65" t="s">
        <v>36</v>
      </c>
      <c r="F15" s="66">
        <f>SUM(F9:F14)</f>
        <v>200</v>
      </c>
      <c r="G15" s="35"/>
      <c r="H15" s="67"/>
      <c r="I15" s="68">
        <f>SUM(I9:I14)</f>
        <v>2096650</v>
      </c>
      <c r="J15" s="69">
        <f>I15/100</f>
        <v>20966.5</v>
      </c>
    </row>
    <row r="16" ht="15.6" customHeight="1" spans="2:10" x14ac:dyDescent="0.25">
      <c r="B16" s="70" t="s">
        <v>37</v>
      </c>
      <c r="C16" s="71"/>
      <c r="D16" s="71"/>
      <c r="E16" s="36"/>
      <c r="F16" s="72"/>
      <c r="G16" s="71"/>
      <c r="H16" s="71"/>
      <c r="I16" s="2"/>
      <c r="J16" s="73"/>
    </row>
    <row r="17" ht="13.8" customHeight="1" spans="2:10" x14ac:dyDescent="0.25">
      <c r="B17" s="64">
        <v>1</v>
      </c>
      <c r="C17" s="36" t="s">
        <v>38</v>
      </c>
      <c r="D17" s="36"/>
      <c r="E17" s="74"/>
      <c r="F17" s="36"/>
      <c r="G17" s="36"/>
      <c r="H17" s="36"/>
      <c r="J17" s="38"/>
    </row>
    <row r="18" ht="13.8" customHeight="1" spans="2:10" x14ac:dyDescent="0.25">
      <c r="B18" s="64">
        <v>2</v>
      </c>
      <c r="C18" s="36" t="s">
        <v>39</v>
      </c>
      <c r="D18" s="36"/>
      <c r="E18" s="36"/>
      <c r="F18" s="36" t="s">
        <v>40</v>
      </c>
      <c r="G18" s="36"/>
      <c r="H18" s="36" t="s">
        <v>40</v>
      </c>
      <c r="J18" s="38"/>
    </row>
    <row r="19" ht="13.8" customHeight="1" spans="2:10" x14ac:dyDescent="0.25">
      <c r="B19" s="64">
        <v>3</v>
      </c>
      <c r="C19" s="36" t="s">
        <v>41</v>
      </c>
      <c r="D19" s="36"/>
      <c r="E19" s="36"/>
      <c r="F19" s="36"/>
      <c r="G19" s="36"/>
      <c r="H19" s="36"/>
      <c r="J19" s="38"/>
    </row>
    <row r="20" ht="13.8" customHeight="1" spans="2:10" x14ac:dyDescent="0.25">
      <c r="B20" s="64">
        <v>4</v>
      </c>
      <c r="C20" s="36" t="s">
        <v>42</v>
      </c>
      <c r="D20" s="36"/>
      <c r="E20" s="36"/>
      <c r="F20" s="36"/>
      <c r="G20" s="36"/>
      <c r="H20" s="36"/>
      <c r="I20" s="36"/>
      <c r="J20" s="75"/>
    </row>
    <row r="21" ht="13.8" customHeight="1" spans="2:10" x14ac:dyDescent="0.25">
      <c r="B21" s="34" t="s">
        <v>43</v>
      </c>
      <c r="C21" s="36"/>
      <c r="D21" s="36"/>
      <c r="E21" s="36"/>
      <c r="F21" s="36"/>
      <c r="G21" s="36"/>
      <c r="H21" s="36"/>
      <c r="J21" s="38"/>
    </row>
    <row r="22" ht="13.8" customHeight="1" spans="2:13" x14ac:dyDescent="0.25">
      <c r="B22" s="64">
        <v>1</v>
      </c>
      <c r="C22" s="36" t="s">
        <v>44</v>
      </c>
      <c r="D22" s="36"/>
      <c r="E22" s="36"/>
      <c r="F22" s="36"/>
      <c r="G22" s="36"/>
      <c r="H22" s="36"/>
      <c r="J22" s="38"/>
      <c r="M22" t="s">
        <v>40</v>
      </c>
    </row>
    <row r="23" ht="15.75" customHeight="1" spans="2:10" x14ac:dyDescent="0.25">
      <c r="B23" s="76">
        <v>2</v>
      </c>
      <c r="C23" s="36" t="s">
        <v>45</v>
      </c>
      <c r="J23" s="38"/>
    </row>
    <row r="24" ht="13.8" customHeight="1" spans="2:10" x14ac:dyDescent="0.25">
      <c r="B24" s="64">
        <v>3</v>
      </c>
      <c r="C24" s="36" t="s">
        <v>46</v>
      </c>
      <c r="D24" s="36"/>
      <c r="E24" s="36"/>
      <c r="F24" s="36"/>
      <c r="G24" s="36"/>
      <c r="H24" s="36"/>
      <c r="J24" s="38"/>
    </row>
    <row r="25" ht="13.8" customHeight="1" spans="2:10" x14ac:dyDescent="0.25">
      <c r="B25" s="64">
        <v>4</v>
      </c>
      <c r="C25" s="36" t="s">
        <v>47</v>
      </c>
      <c r="D25" s="36"/>
      <c r="E25" s="36"/>
      <c r="F25" s="36"/>
      <c r="G25" s="36"/>
      <c r="H25" s="36"/>
      <c r="J25" s="38"/>
    </row>
    <row r="26" ht="13.8" customHeight="1" spans="2:10" x14ac:dyDescent="0.25">
      <c r="B26" s="64">
        <v>5</v>
      </c>
      <c r="C26" s="36" t="s">
        <v>48</v>
      </c>
      <c r="D26" s="36"/>
      <c r="E26" s="36"/>
      <c r="F26" s="36"/>
      <c r="G26" s="36" t="s">
        <v>40</v>
      </c>
      <c r="H26" s="36"/>
      <c r="J26" s="38"/>
    </row>
    <row r="27" ht="13.8" customHeight="1" spans="2:10" x14ac:dyDescent="0.25">
      <c r="B27" s="34" t="s">
        <v>49</v>
      </c>
      <c r="C27" s="36"/>
      <c r="D27" s="36"/>
      <c r="E27" s="36"/>
      <c r="F27" s="36"/>
      <c r="G27" s="36"/>
      <c r="H27" s="36"/>
      <c r="J27" s="38"/>
    </row>
    <row r="28" ht="13.8" customHeight="1" spans="2:10" x14ac:dyDescent="0.25">
      <c r="B28" s="64">
        <v>1</v>
      </c>
      <c r="C28" s="36" t="s">
        <v>50</v>
      </c>
      <c r="D28" s="36"/>
      <c r="E28" s="36"/>
      <c r="F28" s="36"/>
      <c r="G28" s="36"/>
      <c r="H28" s="36"/>
      <c r="J28" s="38"/>
    </row>
    <row r="29" ht="13.8" customHeight="1" spans="2:10" x14ac:dyDescent="0.25">
      <c r="B29" s="64">
        <v>2</v>
      </c>
      <c r="C29" s="36" t="s">
        <v>51</v>
      </c>
      <c r="D29" s="36"/>
      <c r="E29" s="36"/>
      <c r="F29" s="36"/>
      <c r="G29" s="36"/>
      <c r="H29" s="36"/>
      <c r="J29" s="38"/>
    </row>
    <row r="30" ht="13.8" customHeight="1" spans="2:10" x14ac:dyDescent="0.25">
      <c r="B30" s="64">
        <v>3</v>
      </c>
      <c r="C30" s="36" t="s">
        <v>52</v>
      </c>
      <c r="D30" s="36"/>
      <c r="E30" s="36"/>
      <c r="F30" s="36"/>
      <c r="G30" s="36"/>
      <c r="H30" s="36"/>
      <c r="J30" s="38"/>
    </row>
    <row r="31" ht="13.8" customHeight="1" spans="2:10" x14ac:dyDescent="0.25">
      <c r="B31" s="64">
        <v>4</v>
      </c>
      <c r="C31" s="36" t="s">
        <v>53</v>
      </c>
      <c r="D31" s="36"/>
      <c r="E31" s="36"/>
      <c r="F31" s="36"/>
      <c r="G31" s="36"/>
      <c r="H31" s="36"/>
      <c r="J31" s="38"/>
    </row>
    <row r="32" ht="13.8" customHeight="1" spans="2:10" x14ac:dyDescent="0.25">
      <c r="B32" s="64">
        <v>5</v>
      </c>
      <c r="C32" s="36" t="s">
        <v>54</v>
      </c>
      <c r="D32" s="36"/>
      <c r="E32" s="36"/>
      <c r="F32" s="36"/>
      <c r="G32" s="36"/>
      <c r="H32" s="36"/>
      <c r="J32" s="38"/>
    </row>
    <row r="33" ht="14.4" customHeight="1" spans="2:10" x14ac:dyDescent="0.25">
      <c r="B33" s="64">
        <v>6</v>
      </c>
      <c r="C33" s="77" t="s">
        <v>55</v>
      </c>
      <c r="D33" s="77"/>
      <c r="E33" s="77"/>
      <c r="F33" s="77"/>
      <c r="G33" s="77"/>
      <c r="H33" s="77"/>
      <c r="I33" s="78"/>
      <c r="J33" s="79"/>
    </row>
    <row r="34" ht="14.4" customHeight="1" spans="2:10" x14ac:dyDescent="0.25">
      <c r="B34" s="70" t="s">
        <v>56</v>
      </c>
      <c r="C34" s="71" t="s">
        <v>57</v>
      </c>
      <c r="D34" s="71"/>
      <c r="E34" s="71" t="s">
        <v>58</v>
      </c>
      <c r="F34" s="71"/>
      <c r="G34" s="71" t="s">
        <v>59</v>
      </c>
      <c r="H34" s="71"/>
      <c r="I34" s="2"/>
      <c r="J34" s="73"/>
    </row>
    <row r="35" ht="13.8" customHeight="1" spans="2:10" x14ac:dyDescent="0.25">
      <c r="B35" s="34"/>
      <c r="C35" s="13" t="s">
        <v>60</v>
      </c>
      <c r="D35" s="13" t="s">
        <v>61</v>
      </c>
      <c r="E35" s="13" t="s">
        <v>62</v>
      </c>
      <c r="F35" s="36"/>
      <c r="G35" s="3" t="s">
        <v>21</v>
      </c>
      <c r="H35" s="80" t="s">
        <v>22</v>
      </c>
      <c r="I35" s="81" t="s">
        <v>63</v>
      </c>
      <c r="J35" s="38"/>
    </row>
    <row r="36" ht="13.8" customHeight="1" spans="2:10" x14ac:dyDescent="0.25">
      <c r="B36" s="64">
        <v>1</v>
      </c>
      <c r="C36" s="13" t="s">
        <v>64</v>
      </c>
      <c r="D36" s="13" t="s">
        <v>65</v>
      </c>
      <c r="E36" s="13"/>
      <c r="F36" s="36"/>
      <c r="G36" s="82">
        <v>1</v>
      </c>
      <c r="H36" s="13" t="s">
        <v>31</v>
      </c>
      <c r="I36" s="24"/>
      <c r="J36" s="38"/>
    </row>
    <row r="37" ht="13.8" customHeight="1" spans="2:10" x14ac:dyDescent="0.25">
      <c r="B37" s="64">
        <v>2</v>
      </c>
      <c r="C37" s="13" t="s">
        <v>66</v>
      </c>
      <c r="D37" s="13" t="s">
        <v>67</v>
      </c>
      <c r="E37" s="13"/>
      <c r="F37" s="36"/>
      <c r="G37" s="82">
        <v>2</v>
      </c>
      <c r="H37" s="13" t="s">
        <v>32</v>
      </c>
      <c r="I37" s="24"/>
      <c r="J37" s="38"/>
    </row>
    <row r="38" ht="13.8" customHeight="1" spans="2:10" x14ac:dyDescent="0.25">
      <c r="B38" s="64">
        <v>3</v>
      </c>
      <c r="C38" s="13" t="s">
        <v>68</v>
      </c>
      <c r="D38" s="13" t="s">
        <v>69</v>
      </c>
      <c r="E38" s="13"/>
      <c r="F38" s="36"/>
      <c r="G38" s="82">
        <v>3</v>
      </c>
      <c r="H38" s="13" t="s">
        <v>33</v>
      </c>
      <c r="I38" s="24"/>
      <c r="J38" s="38"/>
    </row>
    <row r="39" ht="13.8" customHeight="1" spans="2:10" x14ac:dyDescent="0.25">
      <c r="B39" s="64">
        <v>4</v>
      </c>
      <c r="C39" s="13" t="s">
        <v>70</v>
      </c>
      <c r="D39" s="13"/>
      <c r="E39" s="13"/>
      <c r="F39" s="36"/>
      <c r="G39" s="83">
        <v>4</v>
      </c>
      <c r="H39" s="13" t="s">
        <v>34</v>
      </c>
      <c r="I39" s="84"/>
      <c r="J39" s="38"/>
    </row>
    <row r="40" ht="13.8" customHeight="1" spans="2:10" x14ac:dyDescent="0.25">
      <c r="B40" s="64">
        <v>5</v>
      </c>
      <c r="C40" s="85" t="s">
        <v>71</v>
      </c>
      <c r="D40" s="86" t="s">
        <v>72</v>
      </c>
      <c r="E40" s="87"/>
      <c r="F40" s="36"/>
      <c r="G40" s="82">
        <v>5</v>
      </c>
      <c r="H40" s="13"/>
      <c r="I40" s="24"/>
      <c r="J40" s="38"/>
    </row>
    <row r="41" ht="13.8" customHeight="1" spans="2:10" x14ac:dyDescent="0.25">
      <c r="B41" s="64">
        <v>6</v>
      </c>
      <c r="C41" s="85" t="s">
        <v>73</v>
      </c>
      <c r="D41" s="86"/>
      <c r="E41" s="87"/>
      <c r="F41" s="36"/>
      <c r="G41" s="83">
        <v>6</v>
      </c>
      <c r="H41" s="13"/>
      <c r="I41" s="84"/>
      <c r="J41" s="38"/>
    </row>
    <row r="42" ht="14.4" customHeight="1" spans="2:10" x14ac:dyDescent="0.25">
      <c r="B42" s="88"/>
      <c r="C42" s="89"/>
      <c r="D42" s="89"/>
      <c r="E42" s="89"/>
      <c r="F42" s="77"/>
      <c r="G42" s="90">
        <v>7</v>
      </c>
      <c r="H42" s="89"/>
      <c r="I42" s="33"/>
      <c r="J42" s="79"/>
    </row>
    <row r="43" ht="13.8" customHeight="1" spans="2:10" x14ac:dyDescent="0.25">
      <c r="B43" s="34" t="s">
        <v>74</v>
      </c>
      <c r="C43" s="36"/>
      <c r="D43" s="36"/>
      <c r="E43" s="36"/>
      <c r="F43" s="36"/>
      <c r="G43" s="36"/>
      <c r="H43" s="36"/>
      <c r="J43" s="38"/>
    </row>
    <row r="44" ht="14.4" customHeight="1" spans="2:10" x14ac:dyDescent="0.25">
      <c r="B44" s="64"/>
      <c r="C44" s="36" t="s">
        <v>75</v>
      </c>
      <c r="D44" s="91" t="s">
        <v>76</v>
      </c>
      <c r="E44" s="36" t="s">
        <v>77</v>
      </c>
      <c r="F44" s="91" t="s">
        <v>76</v>
      </c>
      <c r="G44" s="36"/>
      <c r="H44" s="36"/>
      <c r="J44" s="38"/>
    </row>
    <row r="45" ht="14.4" customHeight="1" spans="2:10" x14ac:dyDescent="0.25">
      <c r="B45" s="64"/>
      <c r="C45" s="36" t="s">
        <v>78</v>
      </c>
      <c r="D45" s="91" t="s">
        <v>76</v>
      </c>
      <c r="E45" s="36" t="s">
        <v>79</v>
      </c>
      <c r="F45" s="91" t="s">
        <v>9</v>
      </c>
      <c r="G45" s="36"/>
      <c r="H45" s="36"/>
      <c r="J45" s="38"/>
    </row>
    <row r="46" ht="14.4" customHeight="1" spans="2:10" x14ac:dyDescent="0.25">
      <c r="B46" s="64"/>
      <c r="C46" s="36" t="s">
        <v>80</v>
      </c>
      <c r="D46" s="91" t="s">
        <v>76</v>
      </c>
      <c r="E46" s="36"/>
      <c r="F46" s="36"/>
      <c r="G46" s="36"/>
      <c r="H46" s="36"/>
      <c r="J46" s="38"/>
    </row>
    <row r="47" ht="13.8" customHeight="1" spans="2:10" x14ac:dyDescent="0.25">
      <c r="B47" s="34" t="s">
        <v>81</v>
      </c>
      <c r="J47" s="38"/>
    </row>
    <row r="48" ht="14.4" customHeight="1" spans="2:10" x14ac:dyDescent="0.25">
      <c r="B48" s="88">
        <v>1</v>
      </c>
      <c r="C48" s="77" t="s">
        <v>82</v>
      </c>
      <c r="D48" s="78"/>
      <c r="E48" s="78"/>
      <c r="F48" s="78"/>
      <c r="G48" s="78"/>
      <c r="H48" s="78"/>
      <c r="I48" s="78"/>
      <c r="J48" s="79"/>
    </row>
    <row r="49" ht="13.8" customHeight="1" spans="2:10" x14ac:dyDescent="0.25">
      <c r="B49" s="70" t="s">
        <v>83</v>
      </c>
      <c r="C49" s="71"/>
      <c r="D49" s="2"/>
      <c r="E49" s="73"/>
      <c r="F49" s="70" t="s">
        <v>84</v>
      </c>
      <c r="G49" s="71"/>
      <c r="H49" s="2"/>
      <c r="I49" s="2"/>
      <c r="J49" s="73"/>
    </row>
    <row r="50" spans="2:10" x14ac:dyDescent="0.25">
      <c r="B50" s="92"/>
      <c r="E50" s="38"/>
      <c r="J50" s="38"/>
    </row>
    <row r="51" ht="13.8" customHeight="1" spans="2:10" x14ac:dyDescent="0.25">
      <c r="B51" s="92"/>
      <c r="C51" s="36"/>
      <c r="E51" s="38"/>
      <c r="G51" s="36" t="s">
        <v>85</v>
      </c>
      <c r="J51" s="38"/>
    </row>
    <row r="52" ht="13.8" customHeight="1" spans="2:10" x14ac:dyDescent="0.25">
      <c r="B52" s="92"/>
      <c r="C52" s="36"/>
      <c r="E52" s="38"/>
      <c r="G52" s="36" t="s">
        <v>86</v>
      </c>
      <c r="J52" s="38"/>
    </row>
    <row r="53" ht="14.4" customHeight="1" spans="2:10" x14ac:dyDescent="0.25">
      <c r="B53" s="92"/>
      <c r="C53" s="36"/>
      <c r="E53" s="38"/>
      <c r="G53" s="36"/>
      <c r="J53" s="38"/>
    </row>
    <row r="54" ht="13.8" customHeight="1" spans="2:10" x14ac:dyDescent="0.25">
      <c r="B54" s="93" t="s">
        <v>87</v>
      </c>
      <c r="C54" s="94"/>
      <c r="D54" s="94" t="s">
        <v>88</v>
      </c>
      <c r="E54" s="94"/>
      <c r="F54" s="95" t="s">
        <v>89</v>
      </c>
      <c r="G54" s="2"/>
      <c r="H54" s="2"/>
      <c r="I54" s="94" t="s">
        <v>90</v>
      </c>
      <c r="J54" s="73"/>
    </row>
    <row r="55" spans="2:10" x14ac:dyDescent="0.25">
      <c r="B55" s="92"/>
      <c r="J55" s="38"/>
    </row>
    <row r="56" ht="13.8" customHeight="1" spans="2:10" x14ac:dyDescent="0.25">
      <c r="B56" s="96" t="s">
        <v>91</v>
      </c>
      <c r="C56" s="78"/>
      <c r="D56" s="78" t="s">
        <v>92</v>
      </c>
      <c r="E56" s="78"/>
      <c r="F56" s="97" t="s">
        <v>93</v>
      </c>
      <c r="G56" s="78"/>
      <c r="H56" s="78"/>
      <c r="I56" s="78" t="s">
        <v>92</v>
      </c>
      <c r="J56" s="79"/>
    </row>
  </sheetData>
  <mergeCells count="9">
    <mergeCell ref="I3:J4"/>
    <mergeCell ref="B3:B5"/>
    <mergeCell ref="D4:E4"/>
    <mergeCell ref="C4:C5"/>
    <mergeCell ref="D5:E5"/>
    <mergeCell ref="G5:H5"/>
    <mergeCell ref="B6:C6"/>
    <mergeCell ref="G6:H6"/>
    <mergeCell ref="C20:J20"/>
  </mergeCells>
  <pageMargins left="0.5118110236220472" right="0.31496062992125984" top="0.6692913385826772" bottom="0.6299212598425197" header="0.5118110236220472" footer="0.3937007874015748"/>
  <pageSetup paperSize="9" orientation="portrait" horizontalDpi="4294967293" verticalDpi="200" scale="80" fitToWidth="1" fitToHeight="1" firstPageNumber="1" useFirstPageNumber="1" copies="1"/>
  <headerFooter>
    <oddFooter>&amp;Z&amp;F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 zoomScale="100" zoomScaleNormal="100">
      <selection activeCell="I8" sqref="I8"/>
    </sheetView>
  </sheetViews>
  <sheetFormatPr defaultRowHeight="13.2" outlineLevelRow="0" outlineLevelCol="0" x14ac:dyDescent="0" defaultColWidth="16.21875" customHeight="1"/>
  <cols>
    <col min="1" max="1" width="8.6640625" customWidth="1"/>
    <col min="2" max="2" width="3.88671875" customWidth="1"/>
    <col min="3" max="3" width="12.109375" customWidth="1"/>
    <col min="4" max="4" width="17.77734375" customWidth="1"/>
    <col min="5" max="5" width="16.5546875" customWidth="1"/>
    <col min="6" max="6" width="14.77734375" customWidth="1"/>
    <col min="7" max="7" width="9.88671875" customWidth="1"/>
    <col min="8" max="8" width="7.44140625" customWidth="1"/>
    <col min="257" max="257" width="8.6640625" customWidth="1"/>
    <col min="258" max="258" width="3.88671875" customWidth="1"/>
    <col min="259" max="259" width="12.109375" customWidth="1"/>
    <col min="260" max="260" width="17.77734375" customWidth="1"/>
    <col min="261" max="261" width="11.88671875" customWidth="1"/>
    <col min="262" max="262" width="14.77734375" customWidth="1"/>
    <col min="263" max="263" width="9.88671875" customWidth="1"/>
    <col min="264" max="264" width="7.44140625" customWidth="1"/>
    <col min="513" max="513" width="8.6640625" customWidth="1"/>
    <col min="514" max="514" width="3.88671875" customWidth="1"/>
    <col min="515" max="515" width="12.109375" customWidth="1"/>
    <col min="516" max="516" width="17.77734375" customWidth="1"/>
    <col min="517" max="517" width="11.88671875" customWidth="1"/>
    <col min="518" max="518" width="14.77734375" customWidth="1"/>
    <col min="519" max="519" width="9.88671875" customWidth="1"/>
    <col min="520" max="520" width="7.44140625" customWidth="1"/>
    <col min="769" max="769" width="8.6640625" customWidth="1"/>
    <col min="770" max="770" width="3.88671875" customWidth="1"/>
    <col min="771" max="771" width="12.109375" customWidth="1"/>
    <col min="772" max="772" width="17.77734375" customWidth="1"/>
    <col min="773" max="773" width="11.88671875" customWidth="1"/>
    <col min="774" max="774" width="14.77734375" customWidth="1"/>
    <col min="775" max="775" width="9.88671875" customWidth="1"/>
    <col min="776" max="776" width="7.44140625" customWidth="1"/>
    <col min="1025" max="1025" width="8.6640625" customWidth="1"/>
    <col min="1026" max="1026" width="3.88671875" customWidth="1"/>
    <col min="1027" max="1027" width="12.109375" customWidth="1"/>
    <col min="1028" max="1028" width="17.77734375" customWidth="1"/>
    <col min="1029" max="1029" width="11.88671875" customWidth="1"/>
    <col min="1030" max="1030" width="14.77734375" customWidth="1"/>
    <col min="1031" max="1031" width="9.88671875" customWidth="1"/>
    <col min="1032" max="1032" width="7.44140625" customWidth="1"/>
    <col min="1281" max="1281" width="8.6640625" customWidth="1"/>
    <col min="1282" max="1282" width="3.88671875" customWidth="1"/>
    <col min="1283" max="1283" width="12.109375" customWidth="1"/>
    <col min="1284" max="1284" width="17.77734375" customWidth="1"/>
    <col min="1285" max="1285" width="11.88671875" customWidth="1"/>
    <col min="1286" max="1286" width="14.77734375" customWidth="1"/>
    <col min="1287" max="1287" width="9.88671875" customWidth="1"/>
    <col min="1288" max="1288" width="7.44140625" customWidth="1"/>
    <col min="1537" max="1537" width="8.6640625" customWidth="1"/>
    <col min="1538" max="1538" width="3.88671875" customWidth="1"/>
    <col min="1539" max="1539" width="12.109375" customWidth="1"/>
    <col min="1540" max="1540" width="17.77734375" customWidth="1"/>
    <col min="1541" max="1541" width="11.88671875" customWidth="1"/>
    <col min="1542" max="1542" width="14.77734375" customWidth="1"/>
    <col min="1543" max="1543" width="9.88671875" customWidth="1"/>
    <col min="1544" max="1544" width="7.44140625" customWidth="1"/>
    <col min="1793" max="1793" width="8.6640625" customWidth="1"/>
    <col min="1794" max="1794" width="3.88671875" customWidth="1"/>
    <col min="1795" max="1795" width="12.109375" customWidth="1"/>
    <col min="1796" max="1796" width="17.77734375" customWidth="1"/>
    <col min="1797" max="1797" width="11.88671875" customWidth="1"/>
    <col min="1798" max="1798" width="14.77734375" customWidth="1"/>
    <col min="1799" max="1799" width="9.88671875" customWidth="1"/>
    <col min="1800" max="1800" width="7.44140625" customWidth="1"/>
    <col min="2049" max="2049" width="8.6640625" customWidth="1"/>
    <col min="2050" max="2050" width="3.88671875" customWidth="1"/>
    <col min="2051" max="2051" width="12.109375" customWidth="1"/>
    <col min="2052" max="2052" width="17.77734375" customWidth="1"/>
    <col min="2053" max="2053" width="11.88671875" customWidth="1"/>
    <col min="2054" max="2054" width="14.77734375" customWidth="1"/>
    <col min="2055" max="2055" width="9.88671875" customWidth="1"/>
    <col min="2056" max="2056" width="7.44140625" customWidth="1"/>
    <col min="2305" max="2305" width="8.6640625" customWidth="1"/>
    <col min="2306" max="2306" width="3.88671875" customWidth="1"/>
    <col min="2307" max="2307" width="12.109375" customWidth="1"/>
    <col min="2308" max="2308" width="17.77734375" customWidth="1"/>
    <col min="2309" max="2309" width="11.88671875" customWidth="1"/>
    <col min="2310" max="2310" width="14.77734375" customWidth="1"/>
    <col min="2311" max="2311" width="9.88671875" customWidth="1"/>
    <col min="2312" max="2312" width="7.44140625" customWidth="1"/>
    <col min="2561" max="2561" width="8.6640625" customWidth="1"/>
    <col min="2562" max="2562" width="3.88671875" customWidth="1"/>
    <col min="2563" max="2563" width="12.109375" customWidth="1"/>
    <col min="2564" max="2564" width="17.77734375" customWidth="1"/>
    <col min="2565" max="2565" width="11.88671875" customWidth="1"/>
    <col min="2566" max="2566" width="14.77734375" customWidth="1"/>
    <col min="2567" max="2567" width="9.88671875" customWidth="1"/>
    <col min="2568" max="2568" width="7.44140625" customWidth="1"/>
    <col min="2817" max="2817" width="8.6640625" customWidth="1"/>
    <col min="2818" max="2818" width="3.88671875" customWidth="1"/>
    <col min="2819" max="2819" width="12.109375" customWidth="1"/>
    <col min="2820" max="2820" width="17.77734375" customWidth="1"/>
    <col min="2821" max="2821" width="11.88671875" customWidth="1"/>
    <col min="2822" max="2822" width="14.77734375" customWidth="1"/>
    <col min="2823" max="2823" width="9.88671875" customWidth="1"/>
    <col min="2824" max="2824" width="7.44140625" customWidth="1"/>
    <col min="3073" max="3073" width="8.6640625" customWidth="1"/>
    <col min="3074" max="3074" width="3.88671875" customWidth="1"/>
    <col min="3075" max="3075" width="12.109375" customWidth="1"/>
    <col min="3076" max="3076" width="17.77734375" customWidth="1"/>
    <col min="3077" max="3077" width="11.88671875" customWidth="1"/>
    <col min="3078" max="3078" width="14.77734375" customWidth="1"/>
    <col min="3079" max="3079" width="9.88671875" customWidth="1"/>
    <col min="3080" max="3080" width="7.44140625" customWidth="1"/>
    <col min="3329" max="3329" width="8.6640625" customWidth="1"/>
    <col min="3330" max="3330" width="3.88671875" customWidth="1"/>
    <col min="3331" max="3331" width="12.109375" customWidth="1"/>
    <col min="3332" max="3332" width="17.77734375" customWidth="1"/>
    <col min="3333" max="3333" width="11.88671875" customWidth="1"/>
    <col min="3334" max="3334" width="14.77734375" customWidth="1"/>
    <col min="3335" max="3335" width="9.88671875" customWidth="1"/>
    <col min="3336" max="3336" width="7.44140625" customWidth="1"/>
    <col min="3585" max="3585" width="8.6640625" customWidth="1"/>
    <col min="3586" max="3586" width="3.88671875" customWidth="1"/>
    <col min="3587" max="3587" width="12.109375" customWidth="1"/>
    <col min="3588" max="3588" width="17.77734375" customWidth="1"/>
    <col min="3589" max="3589" width="11.88671875" customWidth="1"/>
    <col min="3590" max="3590" width="14.77734375" customWidth="1"/>
    <col min="3591" max="3591" width="9.88671875" customWidth="1"/>
    <col min="3592" max="3592" width="7.44140625" customWidth="1"/>
    <col min="3841" max="3841" width="8.6640625" customWidth="1"/>
    <col min="3842" max="3842" width="3.88671875" customWidth="1"/>
    <col min="3843" max="3843" width="12.109375" customWidth="1"/>
    <col min="3844" max="3844" width="17.77734375" customWidth="1"/>
    <col min="3845" max="3845" width="11.88671875" customWidth="1"/>
    <col min="3846" max="3846" width="14.77734375" customWidth="1"/>
    <col min="3847" max="3847" width="9.88671875" customWidth="1"/>
    <col min="3848" max="3848" width="7.44140625" customWidth="1"/>
    <col min="4097" max="4097" width="8.6640625" customWidth="1"/>
    <col min="4098" max="4098" width="3.88671875" customWidth="1"/>
    <col min="4099" max="4099" width="12.109375" customWidth="1"/>
    <col min="4100" max="4100" width="17.77734375" customWidth="1"/>
    <col min="4101" max="4101" width="11.88671875" customWidth="1"/>
    <col min="4102" max="4102" width="14.77734375" customWidth="1"/>
    <col min="4103" max="4103" width="9.88671875" customWidth="1"/>
    <col min="4104" max="4104" width="7.44140625" customWidth="1"/>
    <col min="4353" max="4353" width="8.6640625" customWidth="1"/>
    <col min="4354" max="4354" width="3.88671875" customWidth="1"/>
    <col min="4355" max="4355" width="12.109375" customWidth="1"/>
    <col min="4356" max="4356" width="17.77734375" customWidth="1"/>
    <col min="4357" max="4357" width="11.88671875" customWidth="1"/>
    <col min="4358" max="4358" width="14.77734375" customWidth="1"/>
    <col min="4359" max="4359" width="9.88671875" customWidth="1"/>
    <col min="4360" max="4360" width="7.44140625" customWidth="1"/>
    <col min="4609" max="4609" width="8.6640625" customWidth="1"/>
    <col min="4610" max="4610" width="3.88671875" customWidth="1"/>
    <col min="4611" max="4611" width="12.109375" customWidth="1"/>
    <col min="4612" max="4612" width="17.77734375" customWidth="1"/>
    <col min="4613" max="4613" width="11.88671875" customWidth="1"/>
    <col min="4614" max="4614" width="14.77734375" customWidth="1"/>
    <col min="4615" max="4615" width="9.88671875" customWidth="1"/>
    <col min="4616" max="4616" width="7.44140625" customWidth="1"/>
    <col min="4865" max="4865" width="8.6640625" customWidth="1"/>
    <col min="4866" max="4866" width="3.88671875" customWidth="1"/>
    <col min="4867" max="4867" width="12.109375" customWidth="1"/>
    <col min="4868" max="4868" width="17.77734375" customWidth="1"/>
    <col min="4869" max="4869" width="11.88671875" customWidth="1"/>
    <col min="4870" max="4870" width="14.77734375" customWidth="1"/>
    <col min="4871" max="4871" width="9.88671875" customWidth="1"/>
    <col min="4872" max="4872" width="7.44140625" customWidth="1"/>
    <col min="5121" max="5121" width="8.6640625" customWidth="1"/>
    <col min="5122" max="5122" width="3.88671875" customWidth="1"/>
    <col min="5123" max="5123" width="12.109375" customWidth="1"/>
    <col min="5124" max="5124" width="17.77734375" customWidth="1"/>
    <col min="5125" max="5125" width="11.88671875" customWidth="1"/>
    <col min="5126" max="5126" width="14.77734375" customWidth="1"/>
    <col min="5127" max="5127" width="9.88671875" customWidth="1"/>
    <col min="5128" max="5128" width="7.44140625" customWidth="1"/>
    <col min="5377" max="5377" width="8.6640625" customWidth="1"/>
    <col min="5378" max="5378" width="3.88671875" customWidth="1"/>
    <col min="5379" max="5379" width="12.109375" customWidth="1"/>
    <col min="5380" max="5380" width="17.77734375" customWidth="1"/>
    <col min="5381" max="5381" width="11.88671875" customWidth="1"/>
    <col min="5382" max="5382" width="14.77734375" customWidth="1"/>
    <col min="5383" max="5383" width="9.88671875" customWidth="1"/>
    <col min="5384" max="5384" width="7.44140625" customWidth="1"/>
    <col min="5633" max="5633" width="8.6640625" customWidth="1"/>
    <col min="5634" max="5634" width="3.88671875" customWidth="1"/>
    <col min="5635" max="5635" width="12.109375" customWidth="1"/>
    <col min="5636" max="5636" width="17.77734375" customWidth="1"/>
    <col min="5637" max="5637" width="11.88671875" customWidth="1"/>
    <col min="5638" max="5638" width="14.77734375" customWidth="1"/>
    <col min="5639" max="5639" width="9.88671875" customWidth="1"/>
    <col min="5640" max="5640" width="7.44140625" customWidth="1"/>
    <col min="5889" max="5889" width="8.6640625" customWidth="1"/>
    <col min="5890" max="5890" width="3.88671875" customWidth="1"/>
    <col min="5891" max="5891" width="12.109375" customWidth="1"/>
    <col min="5892" max="5892" width="17.77734375" customWidth="1"/>
    <col min="5893" max="5893" width="11.88671875" customWidth="1"/>
    <col min="5894" max="5894" width="14.77734375" customWidth="1"/>
    <col min="5895" max="5895" width="9.88671875" customWidth="1"/>
    <col min="5896" max="5896" width="7.44140625" customWidth="1"/>
    <col min="6145" max="6145" width="8.6640625" customWidth="1"/>
    <col min="6146" max="6146" width="3.88671875" customWidth="1"/>
    <col min="6147" max="6147" width="12.109375" customWidth="1"/>
    <col min="6148" max="6148" width="17.77734375" customWidth="1"/>
    <col min="6149" max="6149" width="11.88671875" customWidth="1"/>
    <col min="6150" max="6150" width="14.77734375" customWidth="1"/>
    <col min="6151" max="6151" width="9.88671875" customWidth="1"/>
    <col min="6152" max="6152" width="7.44140625" customWidth="1"/>
    <col min="6401" max="6401" width="8.6640625" customWidth="1"/>
    <col min="6402" max="6402" width="3.88671875" customWidth="1"/>
    <col min="6403" max="6403" width="12.109375" customWidth="1"/>
    <col min="6404" max="6404" width="17.77734375" customWidth="1"/>
    <col min="6405" max="6405" width="11.88671875" customWidth="1"/>
    <col min="6406" max="6406" width="14.77734375" customWidth="1"/>
    <col min="6407" max="6407" width="9.88671875" customWidth="1"/>
    <col min="6408" max="6408" width="7.44140625" customWidth="1"/>
    <col min="6657" max="6657" width="8.6640625" customWidth="1"/>
    <col min="6658" max="6658" width="3.88671875" customWidth="1"/>
    <col min="6659" max="6659" width="12.109375" customWidth="1"/>
    <col min="6660" max="6660" width="17.77734375" customWidth="1"/>
    <col min="6661" max="6661" width="11.88671875" customWidth="1"/>
    <col min="6662" max="6662" width="14.77734375" customWidth="1"/>
    <col min="6663" max="6663" width="9.88671875" customWidth="1"/>
    <col min="6664" max="6664" width="7.44140625" customWidth="1"/>
    <col min="6913" max="6913" width="8.6640625" customWidth="1"/>
    <col min="6914" max="6914" width="3.88671875" customWidth="1"/>
    <col min="6915" max="6915" width="12.109375" customWidth="1"/>
    <col min="6916" max="6916" width="17.77734375" customWidth="1"/>
    <col min="6917" max="6917" width="11.88671875" customWidth="1"/>
    <col min="6918" max="6918" width="14.77734375" customWidth="1"/>
    <col min="6919" max="6919" width="9.88671875" customWidth="1"/>
    <col min="6920" max="6920" width="7.44140625" customWidth="1"/>
    <col min="7169" max="7169" width="8.6640625" customWidth="1"/>
    <col min="7170" max="7170" width="3.88671875" customWidth="1"/>
    <col min="7171" max="7171" width="12.109375" customWidth="1"/>
    <col min="7172" max="7172" width="17.77734375" customWidth="1"/>
    <col min="7173" max="7173" width="11.88671875" customWidth="1"/>
    <col min="7174" max="7174" width="14.77734375" customWidth="1"/>
    <col min="7175" max="7175" width="9.88671875" customWidth="1"/>
    <col min="7176" max="7176" width="7.44140625" customWidth="1"/>
    <col min="7425" max="7425" width="8.6640625" customWidth="1"/>
    <col min="7426" max="7426" width="3.88671875" customWidth="1"/>
    <col min="7427" max="7427" width="12.109375" customWidth="1"/>
    <col min="7428" max="7428" width="17.77734375" customWidth="1"/>
    <col min="7429" max="7429" width="11.88671875" customWidth="1"/>
    <col min="7430" max="7430" width="14.77734375" customWidth="1"/>
    <col min="7431" max="7431" width="9.88671875" customWidth="1"/>
    <col min="7432" max="7432" width="7.44140625" customWidth="1"/>
    <col min="7681" max="7681" width="8.6640625" customWidth="1"/>
    <col min="7682" max="7682" width="3.88671875" customWidth="1"/>
    <col min="7683" max="7683" width="12.109375" customWidth="1"/>
    <col min="7684" max="7684" width="17.77734375" customWidth="1"/>
    <col min="7685" max="7685" width="11.88671875" customWidth="1"/>
    <col min="7686" max="7686" width="14.77734375" customWidth="1"/>
    <col min="7687" max="7687" width="9.88671875" customWidth="1"/>
    <col min="7688" max="7688" width="7.44140625" customWidth="1"/>
    <col min="7937" max="7937" width="8.6640625" customWidth="1"/>
    <col min="7938" max="7938" width="3.88671875" customWidth="1"/>
    <col min="7939" max="7939" width="12.109375" customWidth="1"/>
    <col min="7940" max="7940" width="17.77734375" customWidth="1"/>
    <col min="7941" max="7941" width="11.88671875" customWidth="1"/>
    <col min="7942" max="7942" width="14.77734375" customWidth="1"/>
    <col min="7943" max="7943" width="9.88671875" customWidth="1"/>
    <col min="7944" max="7944" width="7.44140625" customWidth="1"/>
    <col min="8193" max="8193" width="8.6640625" customWidth="1"/>
    <col min="8194" max="8194" width="3.88671875" customWidth="1"/>
    <col min="8195" max="8195" width="12.109375" customWidth="1"/>
    <col min="8196" max="8196" width="17.77734375" customWidth="1"/>
    <col min="8197" max="8197" width="11.88671875" customWidth="1"/>
    <col min="8198" max="8198" width="14.77734375" customWidth="1"/>
    <col min="8199" max="8199" width="9.88671875" customWidth="1"/>
    <col min="8200" max="8200" width="7.44140625" customWidth="1"/>
    <col min="8449" max="8449" width="8.6640625" customWidth="1"/>
    <col min="8450" max="8450" width="3.88671875" customWidth="1"/>
    <col min="8451" max="8451" width="12.109375" customWidth="1"/>
    <col min="8452" max="8452" width="17.77734375" customWidth="1"/>
    <col min="8453" max="8453" width="11.88671875" customWidth="1"/>
    <col min="8454" max="8454" width="14.77734375" customWidth="1"/>
    <col min="8455" max="8455" width="9.88671875" customWidth="1"/>
    <col min="8456" max="8456" width="7.44140625" customWidth="1"/>
    <col min="8705" max="8705" width="8.6640625" customWidth="1"/>
    <col min="8706" max="8706" width="3.88671875" customWidth="1"/>
    <col min="8707" max="8707" width="12.109375" customWidth="1"/>
    <col min="8708" max="8708" width="17.77734375" customWidth="1"/>
    <col min="8709" max="8709" width="11.88671875" customWidth="1"/>
    <col min="8710" max="8710" width="14.77734375" customWidth="1"/>
    <col min="8711" max="8711" width="9.88671875" customWidth="1"/>
    <col min="8712" max="8712" width="7.44140625" customWidth="1"/>
    <col min="8961" max="8961" width="8.6640625" customWidth="1"/>
    <col min="8962" max="8962" width="3.88671875" customWidth="1"/>
    <col min="8963" max="8963" width="12.109375" customWidth="1"/>
    <col min="8964" max="8964" width="17.77734375" customWidth="1"/>
    <col min="8965" max="8965" width="11.88671875" customWidth="1"/>
    <col min="8966" max="8966" width="14.77734375" customWidth="1"/>
    <col min="8967" max="8967" width="9.88671875" customWidth="1"/>
    <col min="8968" max="8968" width="7.44140625" customWidth="1"/>
    <col min="9217" max="9217" width="8.6640625" customWidth="1"/>
    <col min="9218" max="9218" width="3.88671875" customWidth="1"/>
    <col min="9219" max="9219" width="12.109375" customWidth="1"/>
    <col min="9220" max="9220" width="17.77734375" customWidth="1"/>
    <col min="9221" max="9221" width="11.88671875" customWidth="1"/>
    <col min="9222" max="9222" width="14.77734375" customWidth="1"/>
    <col min="9223" max="9223" width="9.88671875" customWidth="1"/>
    <col min="9224" max="9224" width="7.44140625" customWidth="1"/>
    <col min="9473" max="9473" width="8.6640625" customWidth="1"/>
    <col min="9474" max="9474" width="3.88671875" customWidth="1"/>
    <col min="9475" max="9475" width="12.109375" customWidth="1"/>
    <col min="9476" max="9476" width="17.77734375" customWidth="1"/>
    <col min="9477" max="9477" width="11.88671875" customWidth="1"/>
    <col min="9478" max="9478" width="14.77734375" customWidth="1"/>
    <col min="9479" max="9479" width="9.88671875" customWidth="1"/>
    <col min="9480" max="9480" width="7.44140625" customWidth="1"/>
    <col min="9729" max="9729" width="8.6640625" customWidth="1"/>
    <col min="9730" max="9730" width="3.88671875" customWidth="1"/>
    <col min="9731" max="9731" width="12.109375" customWidth="1"/>
    <col min="9732" max="9732" width="17.77734375" customWidth="1"/>
    <col min="9733" max="9733" width="11.88671875" customWidth="1"/>
    <col min="9734" max="9734" width="14.77734375" customWidth="1"/>
    <col min="9735" max="9735" width="9.88671875" customWidth="1"/>
    <col min="9736" max="9736" width="7.44140625" customWidth="1"/>
    <col min="9985" max="9985" width="8.6640625" customWidth="1"/>
    <col min="9986" max="9986" width="3.88671875" customWidth="1"/>
    <col min="9987" max="9987" width="12.109375" customWidth="1"/>
    <col min="9988" max="9988" width="17.77734375" customWidth="1"/>
    <col min="9989" max="9989" width="11.88671875" customWidth="1"/>
    <col min="9990" max="9990" width="14.77734375" customWidth="1"/>
    <col min="9991" max="9991" width="9.88671875" customWidth="1"/>
    <col min="9992" max="9992" width="7.44140625" customWidth="1"/>
    <col min="10241" max="10241" width="8.6640625" customWidth="1"/>
    <col min="10242" max="10242" width="3.88671875" customWidth="1"/>
    <col min="10243" max="10243" width="12.109375" customWidth="1"/>
    <col min="10244" max="10244" width="17.77734375" customWidth="1"/>
    <col min="10245" max="10245" width="11.88671875" customWidth="1"/>
    <col min="10246" max="10246" width="14.77734375" customWidth="1"/>
    <col min="10247" max="10247" width="9.88671875" customWidth="1"/>
    <col min="10248" max="10248" width="7.44140625" customWidth="1"/>
    <col min="10497" max="10497" width="8.6640625" customWidth="1"/>
    <col min="10498" max="10498" width="3.88671875" customWidth="1"/>
    <col min="10499" max="10499" width="12.109375" customWidth="1"/>
    <col min="10500" max="10500" width="17.77734375" customWidth="1"/>
    <col min="10501" max="10501" width="11.88671875" customWidth="1"/>
    <col min="10502" max="10502" width="14.77734375" customWidth="1"/>
    <col min="10503" max="10503" width="9.88671875" customWidth="1"/>
    <col min="10504" max="10504" width="7.44140625" customWidth="1"/>
    <col min="10753" max="10753" width="8.6640625" customWidth="1"/>
    <col min="10754" max="10754" width="3.88671875" customWidth="1"/>
    <col min="10755" max="10755" width="12.109375" customWidth="1"/>
    <col min="10756" max="10756" width="17.77734375" customWidth="1"/>
    <col min="10757" max="10757" width="11.88671875" customWidth="1"/>
    <col min="10758" max="10758" width="14.77734375" customWidth="1"/>
    <col min="10759" max="10759" width="9.88671875" customWidth="1"/>
    <col min="10760" max="10760" width="7.44140625" customWidth="1"/>
    <col min="11009" max="11009" width="8.6640625" customWidth="1"/>
    <col min="11010" max="11010" width="3.88671875" customWidth="1"/>
    <col min="11011" max="11011" width="12.109375" customWidth="1"/>
    <col min="11012" max="11012" width="17.77734375" customWidth="1"/>
    <col min="11013" max="11013" width="11.88671875" customWidth="1"/>
    <col min="11014" max="11014" width="14.77734375" customWidth="1"/>
    <col min="11015" max="11015" width="9.88671875" customWidth="1"/>
    <col min="11016" max="11016" width="7.44140625" customWidth="1"/>
    <col min="11265" max="11265" width="8.6640625" customWidth="1"/>
    <col min="11266" max="11266" width="3.88671875" customWidth="1"/>
    <col min="11267" max="11267" width="12.109375" customWidth="1"/>
    <col min="11268" max="11268" width="17.77734375" customWidth="1"/>
    <col min="11269" max="11269" width="11.88671875" customWidth="1"/>
    <col min="11270" max="11270" width="14.77734375" customWidth="1"/>
    <col min="11271" max="11271" width="9.88671875" customWidth="1"/>
    <col min="11272" max="11272" width="7.44140625" customWidth="1"/>
    <col min="11521" max="11521" width="8.6640625" customWidth="1"/>
    <col min="11522" max="11522" width="3.88671875" customWidth="1"/>
    <col min="11523" max="11523" width="12.109375" customWidth="1"/>
    <col min="11524" max="11524" width="17.77734375" customWidth="1"/>
    <col min="11525" max="11525" width="11.88671875" customWidth="1"/>
    <col min="11526" max="11526" width="14.77734375" customWidth="1"/>
    <col min="11527" max="11527" width="9.88671875" customWidth="1"/>
    <col min="11528" max="11528" width="7.44140625" customWidth="1"/>
    <col min="11777" max="11777" width="8.6640625" customWidth="1"/>
    <col min="11778" max="11778" width="3.88671875" customWidth="1"/>
    <col min="11779" max="11779" width="12.109375" customWidth="1"/>
    <col min="11780" max="11780" width="17.77734375" customWidth="1"/>
    <col min="11781" max="11781" width="11.88671875" customWidth="1"/>
    <col min="11782" max="11782" width="14.77734375" customWidth="1"/>
    <col min="11783" max="11783" width="9.88671875" customWidth="1"/>
    <col min="11784" max="11784" width="7.44140625" customWidth="1"/>
    <col min="12033" max="12033" width="8.6640625" customWidth="1"/>
    <col min="12034" max="12034" width="3.88671875" customWidth="1"/>
    <col min="12035" max="12035" width="12.109375" customWidth="1"/>
    <col min="12036" max="12036" width="17.77734375" customWidth="1"/>
    <col min="12037" max="12037" width="11.88671875" customWidth="1"/>
    <col min="12038" max="12038" width="14.77734375" customWidth="1"/>
    <col min="12039" max="12039" width="9.88671875" customWidth="1"/>
    <col min="12040" max="12040" width="7.44140625" customWidth="1"/>
    <col min="12289" max="12289" width="8.6640625" customWidth="1"/>
    <col min="12290" max="12290" width="3.88671875" customWidth="1"/>
    <col min="12291" max="12291" width="12.109375" customWidth="1"/>
    <col min="12292" max="12292" width="17.77734375" customWidth="1"/>
    <col min="12293" max="12293" width="11.88671875" customWidth="1"/>
    <col min="12294" max="12294" width="14.77734375" customWidth="1"/>
    <col min="12295" max="12295" width="9.88671875" customWidth="1"/>
    <col min="12296" max="12296" width="7.44140625" customWidth="1"/>
    <col min="12545" max="12545" width="8.6640625" customWidth="1"/>
    <col min="12546" max="12546" width="3.88671875" customWidth="1"/>
    <col min="12547" max="12547" width="12.109375" customWidth="1"/>
    <col min="12548" max="12548" width="17.77734375" customWidth="1"/>
    <col min="12549" max="12549" width="11.88671875" customWidth="1"/>
    <col min="12550" max="12550" width="14.77734375" customWidth="1"/>
    <col min="12551" max="12551" width="9.88671875" customWidth="1"/>
    <col min="12552" max="12552" width="7.44140625" customWidth="1"/>
    <col min="12801" max="12801" width="8.6640625" customWidth="1"/>
    <col min="12802" max="12802" width="3.88671875" customWidth="1"/>
    <col min="12803" max="12803" width="12.109375" customWidth="1"/>
    <col min="12804" max="12804" width="17.77734375" customWidth="1"/>
    <col min="12805" max="12805" width="11.88671875" customWidth="1"/>
    <col min="12806" max="12806" width="14.77734375" customWidth="1"/>
    <col min="12807" max="12807" width="9.88671875" customWidth="1"/>
    <col min="12808" max="12808" width="7.44140625" customWidth="1"/>
    <col min="13057" max="13057" width="8.6640625" customWidth="1"/>
    <col min="13058" max="13058" width="3.88671875" customWidth="1"/>
    <col min="13059" max="13059" width="12.109375" customWidth="1"/>
    <col min="13060" max="13060" width="17.77734375" customWidth="1"/>
    <col min="13061" max="13061" width="11.88671875" customWidth="1"/>
    <col min="13062" max="13062" width="14.77734375" customWidth="1"/>
    <col min="13063" max="13063" width="9.88671875" customWidth="1"/>
    <col min="13064" max="13064" width="7.44140625" customWidth="1"/>
    <col min="13313" max="13313" width="8.6640625" customWidth="1"/>
    <col min="13314" max="13314" width="3.88671875" customWidth="1"/>
    <col min="13315" max="13315" width="12.109375" customWidth="1"/>
    <col min="13316" max="13316" width="17.77734375" customWidth="1"/>
    <col min="13317" max="13317" width="11.88671875" customWidth="1"/>
    <col min="13318" max="13318" width="14.77734375" customWidth="1"/>
    <col min="13319" max="13319" width="9.88671875" customWidth="1"/>
    <col min="13320" max="13320" width="7.44140625" customWidth="1"/>
    <col min="13569" max="13569" width="8.6640625" customWidth="1"/>
    <col min="13570" max="13570" width="3.88671875" customWidth="1"/>
    <col min="13571" max="13571" width="12.109375" customWidth="1"/>
    <col min="13572" max="13572" width="17.77734375" customWidth="1"/>
    <col min="13573" max="13573" width="11.88671875" customWidth="1"/>
    <col min="13574" max="13574" width="14.77734375" customWidth="1"/>
    <col min="13575" max="13575" width="9.88671875" customWidth="1"/>
    <col min="13576" max="13576" width="7.44140625" customWidth="1"/>
    <col min="13825" max="13825" width="8.6640625" customWidth="1"/>
    <col min="13826" max="13826" width="3.88671875" customWidth="1"/>
    <col min="13827" max="13827" width="12.109375" customWidth="1"/>
    <col min="13828" max="13828" width="17.77734375" customWidth="1"/>
    <col min="13829" max="13829" width="11.88671875" customWidth="1"/>
    <col min="13830" max="13830" width="14.77734375" customWidth="1"/>
    <col min="13831" max="13831" width="9.88671875" customWidth="1"/>
    <col min="13832" max="13832" width="7.44140625" customWidth="1"/>
    <col min="14081" max="14081" width="8.6640625" customWidth="1"/>
    <col min="14082" max="14082" width="3.88671875" customWidth="1"/>
    <col min="14083" max="14083" width="12.109375" customWidth="1"/>
    <col min="14084" max="14084" width="17.77734375" customWidth="1"/>
    <col min="14085" max="14085" width="11.88671875" customWidth="1"/>
    <col min="14086" max="14086" width="14.77734375" customWidth="1"/>
    <col min="14087" max="14087" width="9.88671875" customWidth="1"/>
    <col min="14088" max="14088" width="7.44140625" customWidth="1"/>
    <col min="14337" max="14337" width="8.6640625" customWidth="1"/>
    <col min="14338" max="14338" width="3.88671875" customWidth="1"/>
    <col min="14339" max="14339" width="12.109375" customWidth="1"/>
    <col min="14340" max="14340" width="17.77734375" customWidth="1"/>
    <col min="14341" max="14341" width="11.88671875" customWidth="1"/>
    <col min="14342" max="14342" width="14.77734375" customWidth="1"/>
    <col min="14343" max="14343" width="9.88671875" customWidth="1"/>
    <col min="14344" max="14344" width="7.44140625" customWidth="1"/>
    <col min="14593" max="14593" width="8.6640625" customWidth="1"/>
    <col min="14594" max="14594" width="3.88671875" customWidth="1"/>
    <col min="14595" max="14595" width="12.109375" customWidth="1"/>
    <col min="14596" max="14596" width="17.77734375" customWidth="1"/>
    <col min="14597" max="14597" width="11.88671875" customWidth="1"/>
    <col min="14598" max="14598" width="14.77734375" customWidth="1"/>
    <col min="14599" max="14599" width="9.88671875" customWidth="1"/>
    <col min="14600" max="14600" width="7.44140625" customWidth="1"/>
    <col min="14849" max="14849" width="8.6640625" customWidth="1"/>
    <col min="14850" max="14850" width="3.88671875" customWidth="1"/>
    <col min="14851" max="14851" width="12.109375" customWidth="1"/>
    <col min="14852" max="14852" width="17.77734375" customWidth="1"/>
    <col min="14853" max="14853" width="11.88671875" customWidth="1"/>
    <col min="14854" max="14854" width="14.77734375" customWidth="1"/>
    <col min="14855" max="14855" width="9.88671875" customWidth="1"/>
    <col min="14856" max="14856" width="7.44140625" customWidth="1"/>
    <col min="15105" max="15105" width="8.6640625" customWidth="1"/>
    <col min="15106" max="15106" width="3.88671875" customWidth="1"/>
    <col min="15107" max="15107" width="12.109375" customWidth="1"/>
    <col min="15108" max="15108" width="17.77734375" customWidth="1"/>
    <col min="15109" max="15109" width="11.88671875" customWidth="1"/>
    <col min="15110" max="15110" width="14.77734375" customWidth="1"/>
    <col min="15111" max="15111" width="9.88671875" customWidth="1"/>
    <col min="15112" max="15112" width="7.44140625" customWidth="1"/>
    <col min="15361" max="15361" width="8.6640625" customWidth="1"/>
    <col min="15362" max="15362" width="3.88671875" customWidth="1"/>
    <col min="15363" max="15363" width="12.109375" customWidth="1"/>
    <col min="15364" max="15364" width="17.77734375" customWidth="1"/>
    <col min="15365" max="15365" width="11.88671875" customWidth="1"/>
    <col min="15366" max="15366" width="14.77734375" customWidth="1"/>
    <col min="15367" max="15367" width="9.88671875" customWidth="1"/>
    <col min="15368" max="15368" width="7.44140625" customWidth="1"/>
    <col min="15617" max="15617" width="8.6640625" customWidth="1"/>
    <col min="15618" max="15618" width="3.88671875" customWidth="1"/>
    <col min="15619" max="15619" width="12.109375" customWidth="1"/>
    <col min="15620" max="15620" width="17.77734375" customWidth="1"/>
    <col min="15621" max="15621" width="11.88671875" customWidth="1"/>
    <col min="15622" max="15622" width="14.77734375" customWidth="1"/>
    <col min="15623" max="15623" width="9.88671875" customWidth="1"/>
    <col min="15624" max="15624" width="7.44140625" customWidth="1"/>
    <col min="15873" max="15873" width="8.6640625" customWidth="1"/>
    <col min="15874" max="15874" width="3.88671875" customWidth="1"/>
    <col min="15875" max="15875" width="12.109375" customWidth="1"/>
    <col min="15876" max="15876" width="17.77734375" customWidth="1"/>
    <col min="15877" max="15877" width="11.88671875" customWidth="1"/>
    <col min="15878" max="15878" width="14.77734375" customWidth="1"/>
    <col min="15879" max="15879" width="9.88671875" customWidth="1"/>
    <col min="15880" max="15880" width="7.44140625" customWidth="1"/>
    <col min="16129" max="16129" width="8.6640625" customWidth="1"/>
    <col min="16130" max="16130" width="3.88671875" customWidth="1"/>
    <col min="16131" max="16131" width="12.109375" customWidth="1"/>
    <col min="16132" max="16132" width="17.77734375" customWidth="1"/>
    <col min="16133" max="16133" width="11.88671875" customWidth="1"/>
    <col min="16134" max="16134" width="14.77734375" customWidth="1"/>
    <col min="16135" max="16135" width="9.88671875" customWidth="1"/>
    <col min="16136" max="16136" width="7.44140625" customWidth="1"/>
  </cols>
  <sheetData>
    <row r="1" ht="21" customHeight="1" spans="1:8" x14ac:dyDescent="0.25">
      <c r="A1" s="98" t="s">
        <v>94</v>
      </c>
      <c r="B1" s="99"/>
      <c r="C1" s="99"/>
      <c r="D1" s="99"/>
      <c r="E1" s="99"/>
      <c r="F1" s="99"/>
      <c r="G1" s="99"/>
      <c r="H1" s="100"/>
    </row>
    <row r="2" ht="21" customHeight="1" spans="1:8" x14ac:dyDescent="0.25">
      <c r="A2" s="101"/>
      <c r="B2" s="102"/>
      <c r="C2" s="102"/>
      <c r="D2" s="102"/>
      <c r="E2" s="102"/>
      <c r="F2" s="102"/>
      <c r="G2" s="102"/>
      <c r="H2" s="103"/>
    </row>
    <row r="3" ht="14.4" customHeight="1" spans="1:8" x14ac:dyDescent="0.25">
      <c r="A3" s="104"/>
      <c r="B3" s="105"/>
      <c r="C3" s="105"/>
      <c r="D3" s="106" t="s">
        <v>95</v>
      </c>
      <c r="E3" s="107"/>
      <c r="F3" s="108"/>
      <c r="G3" s="108"/>
      <c r="H3" s="109"/>
    </row>
    <row r="4" ht="40.2" customHeight="1" spans="1:8" x14ac:dyDescent="0.25">
      <c r="A4" s="110" t="s">
        <v>96</v>
      </c>
      <c r="B4" s="111" t="s">
        <v>97</v>
      </c>
      <c r="C4" s="112">
        <f>'BG_ChemX 119266 A'!F7</f>
        <v>45677</v>
      </c>
      <c r="D4" s="113" t="s">
        <v>98</v>
      </c>
      <c r="E4" s="114" t="str">
        <f>'BG_ChemX 119266 A'!F5</f>
        <v>ITS - 428Wn/ITS-PO/I/2025</v>
      </c>
      <c r="F4" s="115" t="s">
        <v>99</v>
      </c>
      <c r="G4" s="116" t="str">
        <f>'BG_ChemX 119266 A'!F3</f>
        <v>ChemX 119266 A</v>
      </c>
      <c r="H4" s="117"/>
    </row>
    <row r="5" ht="14.4" customHeight="1" spans="1:8" x14ac:dyDescent="0.25">
      <c r="A5" s="118" t="s">
        <v>100</v>
      </c>
      <c r="B5" s="119" t="s">
        <v>97</v>
      </c>
      <c r="C5" s="120" t="s">
        <v>90</v>
      </c>
      <c r="D5" s="121" t="s">
        <v>101</v>
      </c>
      <c r="E5" s="122"/>
      <c r="F5" s="123" t="s">
        <v>102</v>
      </c>
      <c r="G5" s="120">
        <f>'BG_ChemX 119266 A'!F6</f>
        <v>200</v>
      </c>
      <c r="H5" s="124"/>
    </row>
    <row r="6" ht="14.4" customHeight="1" spans="1:8" x14ac:dyDescent="0.25">
      <c r="A6" s="125"/>
      <c r="B6" s="119"/>
      <c r="C6" s="105"/>
      <c r="D6" s="126" t="s">
        <v>103</v>
      </c>
      <c r="E6" s="127"/>
      <c r="F6" s="123" t="s">
        <v>104</v>
      </c>
      <c r="G6" s="120" t="s">
        <v>105</v>
      </c>
      <c r="H6" s="124"/>
    </row>
    <row r="7" ht="14.4" customHeight="1" spans="1:8" x14ac:dyDescent="0.25">
      <c r="A7" s="104"/>
      <c r="B7" s="105"/>
      <c r="C7" s="105"/>
      <c r="D7" s="128" t="s">
        <v>106</v>
      </c>
      <c r="E7" s="129"/>
      <c r="F7" s="130" t="s">
        <v>107</v>
      </c>
      <c r="G7" s="131">
        <v>20</v>
      </c>
      <c r="H7" s="132" t="s">
        <v>108</v>
      </c>
    </row>
    <row r="8" ht="14.4" customHeight="1" spans="1:8" x14ac:dyDescent="0.25">
      <c r="A8" s="104"/>
      <c r="B8" s="105"/>
      <c r="C8" s="105"/>
      <c r="D8" s="133"/>
      <c r="E8" s="133"/>
      <c r="F8" s="105"/>
      <c r="G8" s="105"/>
      <c r="H8" s="134"/>
    </row>
    <row r="9" ht="27.6" customHeight="1" spans="1:8" x14ac:dyDescent="0.25">
      <c r="A9" s="135" t="s">
        <v>109</v>
      </c>
      <c r="B9" s="136" t="s">
        <v>110</v>
      </c>
      <c r="C9" s="136"/>
      <c r="D9" s="136" t="s">
        <v>111</v>
      </c>
      <c r="E9" s="136"/>
      <c r="F9" s="136" t="s">
        <v>112</v>
      </c>
      <c r="G9" s="136"/>
      <c r="H9" s="137" t="s">
        <v>113</v>
      </c>
    </row>
    <row r="10" ht="14.4" customHeight="1" spans="1:8" x14ac:dyDescent="0.25">
      <c r="A10" s="138">
        <v>1</v>
      </c>
      <c r="B10" s="136" t="str">
        <f>'BG_ChemX 119266 A'!C9</f>
        <v>Air</v>
      </c>
      <c r="C10" s="136"/>
      <c r="D10" s="136"/>
      <c r="E10" s="136"/>
      <c r="F10" s="139">
        <f>'BG_ChemX 119266 A'!F9</f>
        <v>137</v>
      </c>
      <c r="G10" s="139"/>
      <c r="H10" s="140" t="s">
        <v>30</v>
      </c>
    </row>
    <row r="11" ht="14.4" customHeight="1" spans="1:8" x14ac:dyDescent="0.25">
      <c r="A11" s="138">
        <v>2</v>
      </c>
      <c r="B11" s="136" t="str">
        <f>'BG_ChemX 119266 A'!C10</f>
        <v>PA 139</v>
      </c>
      <c r="C11" s="136"/>
      <c r="D11" s="136"/>
      <c r="E11" s="136"/>
      <c r="F11" s="139">
        <f>'BG_ChemX 119266 A'!F10</f>
        <v>32.2</v>
      </c>
      <c r="G11" s="139"/>
      <c r="H11" s="140" t="s">
        <v>30</v>
      </c>
    </row>
    <row r="12" ht="14.4" customHeight="1" spans="1:8" x14ac:dyDescent="0.25">
      <c r="A12" s="138">
        <v>3</v>
      </c>
      <c r="B12" s="136" t="str">
        <f>'BG_ChemX 119266 A'!C11</f>
        <v>CF 091</v>
      </c>
      <c r="C12" s="136"/>
      <c r="D12" s="136"/>
      <c r="E12" s="136"/>
      <c r="F12" s="139">
        <f>'BG_ChemX 119266 A'!F11</f>
        <v>16</v>
      </c>
      <c r="G12" s="139"/>
      <c r="H12" s="140" t="s">
        <v>30</v>
      </c>
    </row>
    <row r="13" ht="14.4" customHeight="1" spans="1:8" x14ac:dyDescent="0.25">
      <c r="A13" s="138">
        <v>4</v>
      </c>
      <c r="B13" s="136" t="str">
        <f>'BG_ChemX 119266 A'!C12</f>
        <v>HE 140</v>
      </c>
      <c r="C13" s="136"/>
      <c r="D13" s="136"/>
      <c r="E13" s="136"/>
      <c r="F13" s="139">
        <f>'BG_ChemX 119266 A'!F12</f>
        <v>12</v>
      </c>
      <c r="G13" s="139"/>
      <c r="H13" s="140" t="s">
        <v>30</v>
      </c>
    </row>
    <row r="14" ht="14.4" customHeight="1" spans="1:8" x14ac:dyDescent="0.25">
      <c r="A14" s="138">
        <v>5</v>
      </c>
      <c r="B14" s="136" t="str">
        <f>'BG_ChemX 119266 A'!C13</f>
        <v>TT 092</v>
      </c>
      <c r="C14" s="136"/>
      <c r="D14" s="136"/>
      <c r="E14" s="136"/>
      <c r="F14" s="139">
        <f>'BG_ChemX 119266 A'!F13</f>
        <v>2.8</v>
      </c>
      <c r="G14" s="139"/>
      <c r="H14" s="140" t="s">
        <v>30</v>
      </c>
    </row>
    <row r="15" ht="14.4" customHeight="1" spans="1:8" x14ac:dyDescent="0.25">
      <c r="A15" s="138">
        <v>6</v>
      </c>
      <c r="B15" s="136" t="s">
        <v>104</v>
      </c>
      <c r="C15" s="136"/>
      <c r="D15" s="136" t="str">
        <f>G6</f>
        <v>Jerigen Putih susu </v>
      </c>
      <c r="E15" s="136"/>
      <c r="F15" s="141">
        <f>G5/G7</f>
        <v>10</v>
      </c>
      <c r="G15" s="141"/>
      <c r="H15" s="140" t="s">
        <v>114</v>
      </c>
    </row>
    <row r="16" ht="14.4" customHeight="1" spans="1:8" x14ac:dyDescent="0.25">
      <c r="A16" s="142"/>
      <c r="B16" s="143"/>
      <c r="C16" s="143"/>
      <c r="D16" s="143"/>
      <c r="E16" s="143"/>
      <c r="F16" s="143"/>
      <c r="G16" s="143"/>
      <c r="H16" s="144"/>
    </row>
    <row r="17" ht="14.4" customHeight="1" spans="1:8" x14ac:dyDescent="0.25">
      <c r="A17" s="145" t="s">
        <v>90</v>
      </c>
      <c r="B17" s="146"/>
      <c r="C17" s="146"/>
      <c r="D17" s="146"/>
      <c r="E17" s="146" t="s">
        <v>115</v>
      </c>
      <c r="F17" s="105"/>
      <c r="G17" s="133"/>
      <c r="H17" s="144"/>
    </row>
    <row r="18" spans="1:8" x14ac:dyDescent="0.25">
      <c r="A18" s="147"/>
      <c r="B18" s="133"/>
      <c r="C18" s="133"/>
      <c r="D18" s="133"/>
      <c r="E18" s="133"/>
      <c r="F18" s="133"/>
      <c r="G18" s="133"/>
      <c r="H18" s="124"/>
    </row>
    <row r="19" ht="14.4" customHeight="1" spans="1:8" x14ac:dyDescent="0.25">
      <c r="A19" s="145"/>
      <c r="B19" s="146"/>
      <c r="C19" s="133"/>
      <c r="D19" s="133"/>
      <c r="E19" s="133"/>
      <c r="F19" s="133"/>
      <c r="G19" s="133"/>
      <c r="H19" s="124"/>
    </row>
    <row r="20" ht="14.4" customHeight="1" spans="1:8" x14ac:dyDescent="0.25">
      <c r="A20" s="145" t="s">
        <v>116</v>
      </c>
      <c r="B20" s="146"/>
      <c r="C20" s="148" t="s">
        <v>117</v>
      </c>
      <c r="D20" s="133"/>
      <c r="E20" s="133" t="s">
        <v>116</v>
      </c>
      <c r="F20" s="148" t="s">
        <v>117</v>
      </c>
      <c r="G20" s="133"/>
      <c r="H20" s="124"/>
    </row>
    <row r="21" ht="15" customHeight="1" spans="1:8" x14ac:dyDescent="0.25">
      <c r="A21" s="149"/>
      <c r="B21" s="150"/>
      <c r="C21" s="150"/>
      <c r="D21" s="150"/>
      <c r="E21" s="150"/>
      <c r="F21" s="150"/>
      <c r="G21" s="150"/>
      <c r="H21" s="151"/>
    </row>
    <row r="22" spans="1:8" x14ac:dyDescent="0.25">
      <c r="A22" s="147"/>
      <c r="B22" s="133"/>
      <c r="C22" s="133"/>
      <c r="D22" s="133"/>
      <c r="E22" s="133"/>
      <c r="F22" s="133"/>
      <c r="G22" s="133"/>
      <c r="H22" s="133"/>
    </row>
    <row r="23" ht="21" customHeight="1" hidden="1" spans="1:8" x14ac:dyDescent="0.25">
      <c r="A23" s="98" t="s">
        <v>94</v>
      </c>
      <c r="B23" s="99"/>
      <c r="C23" s="99"/>
      <c r="D23" s="99"/>
      <c r="E23" s="99"/>
      <c r="F23" s="99"/>
      <c r="G23" s="99"/>
      <c r="H23" s="100"/>
    </row>
    <row r="24" ht="21" customHeight="1" hidden="1" spans="1:8" x14ac:dyDescent="0.25">
      <c r="A24" s="101"/>
      <c r="B24" s="102"/>
      <c r="C24" s="102"/>
      <c r="D24" s="102"/>
      <c r="E24" s="102"/>
      <c r="F24" s="102"/>
      <c r="G24" s="102"/>
      <c r="H24" s="103"/>
    </row>
    <row r="25" ht="14.4" customHeight="1" hidden="1" spans="1:8" x14ac:dyDescent="0.25">
      <c r="A25" s="104"/>
      <c r="B25" s="105"/>
      <c r="C25" s="105"/>
      <c r="D25" s="106" t="s">
        <v>95</v>
      </c>
      <c r="E25" s="107"/>
      <c r="F25" s="108"/>
      <c r="G25" s="108"/>
      <c r="H25" s="109"/>
    </row>
    <row r="26" ht="14.4" customHeight="1" hidden="1" spans="1:8" x14ac:dyDescent="0.25">
      <c r="A26" s="125" t="s">
        <v>96</v>
      </c>
      <c r="B26" s="119" t="s">
        <v>97</v>
      </c>
      <c r="C26" s="133"/>
      <c r="D26" s="152" t="s">
        <v>98</v>
      </c>
      <c r="E26" s="133" t="s">
        <v>97</v>
      </c>
      <c r="F26" s="146" t="s">
        <v>99</v>
      </c>
      <c r="G26" s="133" t="s">
        <v>97</v>
      </c>
      <c r="H26" s="124"/>
    </row>
    <row r="27" ht="14.4" customHeight="1" hidden="1" spans="1:8" x14ac:dyDescent="0.25">
      <c r="A27" s="125" t="s">
        <v>100</v>
      </c>
      <c r="B27" s="119" t="s">
        <v>97</v>
      </c>
      <c r="C27" s="133"/>
      <c r="D27" s="152" t="s">
        <v>101</v>
      </c>
      <c r="E27" s="133" t="s">
        <v>97</v>
      </c>
      <c r="F27" s="119" t="s">
        <v>102</v>
      </c>
      <c r="G27" s="133" t="s">
        <v>97</v>
      </c>
      <c r="H27" s="124"/>
    </row>
    <row r="28" ht="14.4" customHeight="1" hidden="1" spans="1:8" x14ac:dyDescent="0.25">
      <c r="A28" s="125"/>
      <c r="B28" s="119"/>
      <c r="C28" s="105"/>
      <c r="D28" s="153" t="s">
        <v>103</v>
      </c>
      <c r="E28" s="133" t="s">
        <v>97</v>
      </c>
      <c r="F28" s="119" t="s">
        <v>104</v>
      </c>
      <c r="G28" s="133" t="s">
        <v>97</v>
      </c>
      <c r="H28" s="124"/>
    </row>
    <row r="29" ht="14.4" customHeight="1" hidden="1" spans="1:8" x14ac:dyDescent="0.25">
      <c r="A29" s="104"/>
      <c r="B29" s="105"/>
      <c r="C29" s="105"/>
      <c r="D29" s="154" t="s">
        <v>106</v>
      </c>
      <c r="E29" s="155" t="s">
        <v>97</v>
      </c>
      <c r="F29" s="156" t="s">
        <v>107</v>
      </c>
      <c r="G29" s="156" t="s">
        <v>97</v>
      </c>
      <c r="H29" s="132"/>
    </row>
    <row r="30" ht="14.4" customHeight="1" hidden="1" spans="1:8" x14ac:dyDescent="0.25">
      <c r="A30" s="104"/>
      <c r="B30" s="105"/>
      <c r="C30" s="105"/>
      <c r="D30" s="133"/>
      <c r="E30" s="133"/>
      <c r="F30" s="105"/>
      <c r="G30" s="105"/>
      <c r="H30" s="134"/>
    </row>
    <row r="31" ht="27.6" customHeight="1" hidden="1" spans="1:8" x14ac:dyDescent="0.25">
      <c r="A31" s="135" t="s">
        <v>109</v>
      </c>
      <c r="B31" s="136" t="s">
        <v>110</v>
      </c>
      <c r="C31" s="136"/>
      <c r="D31" s="136" t="s">
        <v>111</v>
      </c>
      <c r="E31" s="136"/>
      <c r="F31" s="136" t="s">
        <v>112</v>
      </c>
      <c r="G31" s="136"/>
      <c r="H31" s="137" t="s">
        <v>118</v>
      </c>
    </row>
    <row r="32" ht="14.4" customHeight="1" hidden="1" spans="1:8" x14ac:dyDescent="0.25">
      <c r="A32" s="138">
        <v>1</v>
      </c>
      <c r="B32" s="136"/>
      <c r="C32" s="136"/>
      <c r="D32" s="136"/>
      <c r="E32" s="136"/>
      <c r="F32" s="136"/>
      <c r="G32" s="136"/>
      <c r="H32" s="140"/>
    </row>
    <row r="33" ht="14.4" customHeight="1" hidden="1" spans="1:8" x14ac:dyDescent="0.25">
      <c r="A33" s="138">
        <v>2</v>
      </c>
      <c r="B33" s="136"/>
      <c r="C33" s="136"/>
      <c r="D33" s="136"/>
      <c r="E33" s="136"/>
      <c r="F33" s="136"/>
      <c r="G33" s="136"/>
      <c r="H33" s="140"/>
    </row>
    <row r="34" ht="14.4" customHeight="1" hidden="1" spans="1:8" x14ac:dyDescent="0.25">
      <c r="A34" s="138">
        <v>3</v>
      </c>
      <c r="B34" s="136"/>
      <c r="C34" s="136"/>
      <c r="D34" s="136"/>
      <c r="E34" s="136"/>
      <c r="F34" s="136"/>
      <c r="G34" s="136"/>
      <c r="H34" s="140"/>
    </row>
    <row r="35" ht="14.4" customHeight="1" hidden="1" spans="1:8" x14ac:dyDescent="0.25">
      <c r="A35" s="138">
        <v>4</v>
      </c>
      <c r="B35" s="136"/>
      <c r="C35" s="136"/>
      <c r="D35" s="136"/>
      <c r="E35" s="136"/>
      <c r="F35" s="136"/>
      <c r="G35" s="136"/>
      <c r="H35" s="140"/>
    </row>
    <row r="36" ht="14.4" customHeight="1" hidden="1" spans="1:8" x14ac:dyDescent="0.25">
      <c r="A36" s="138">
        <v>5</v>
      </c>
      <c r="B36" s="136"/>
      <c r="C36" s="136"/>
      <c r="D36" s="136"/>
      <c r="E36" s="136"/>
      <c r="F36" s="136"/>
      <c r="G36" s="136"/>
      <c r="H36" s="140"/>
    </row>
    <row r="37" ht="14.4" customHeight="1" hidden="1" spans="1:8" x14ac:dyDescent="0.25">
      <c r="A37" s="138">
        <v>6</v>
      </c>
      <c r="B37" s="136"/>
      <c r="C37" s="136"/>
      <c r="D37" s="136"/>
      <c r="E37" s="136"/>
      <c r="F37" s="136"/>
      <c r="G37" s="136"/>
      <c r="H37" s="140"/>
    </row>
    <row r="38" ht="14.4" customHeight="1" hidden="1" spans="1:8" x14ac:dyDescent="0.25">
      <c r="A38" s="138">
        <v>7</v>
      </c>
      <c r="B38" s="136"/>
      <c r="C38" s="136"/>
      <c r="D38" s="136"/>
      <c r="E38" s="136"/>
      <c r="F38" s="136"/>
      <c r="G38" s="136"/>
      <c r="H38" s="140"/>
    </row>
    <row r="39" ht="14.4" customHeight="1" hidden="1" spans="1:8" x14ac:dyDescent="0.25">
      <c r="A39" s="138">
        <v>8</v>
      </c>
      <c r="B39" s="136"/>
      <c r="C39" s="136"/>
      <c r="D39" s="136"/>
      <c r="E39" s="136"/>
      <c r="F39" s="136"/>
      <c r="G39" s="136"/>
      <c r="H39" s="140"/>
    </row>
    <row r="40" ht="14.4" customHeight="1" hidden="1" spans="1:8" x14ac:dyDescent="0.25">
      <c r="A40" s="138">
        <v>9</v>
      </c>
      <c r="B40" s="136"/>
      <c r="C40" s="136"/>
      <c r="D40" s="136"/>
      <c r="E40" s="136"/>
      <c r="F40" s="136"/>
      <c r="G40" s="136"/>
      <c r="H40" s="140"/>
    </row>
    <row r="41" ht="14.4" customHeight="1" hidden="1" spans="1:8" x14ac:dyDescent="0.25">
      <c r="A41" s="138">
        <v>10</v>
      </c>
      <c r="B41" s="136"/>
      <c r="C41" s="136"/>
      <c r="D41" s="136"/>
      <c r="E41" s="136"/>
      <c r="F41" s="136"/>
      <c r="G41" s="136"/>
      <c r="H41" s="157"/>
    </row>
    <row r="42" ht="14.4" customHeight="1" hidden="1" spans="1:8" x14ac:dyDescent="0.25">
      <c r="A42" s="142"/>
      <c r="B42" s="143"/>
      <c r="C42" s="143"/>
      <c r="D42" s="143"/>
      <c r="E42" s="143"/>
      <c r="F42" s="143"/>
      <c r="G42" s="143"/>
      <c r="H42" s="144"/>
    </row>
    <row r="43" ht="14.4" customHeight="1" hidden="1" spans="1:8" x14ac:dyDescent="0.25">
      <c r="A43" s="145" t="s">
        <v>90</v>
      </c>
      <c r="B43" s="146"/>
      <c r="C43" s="146"/>
      <c r="D43" s="146"/>
      <c r="E43" s="146" t="s">
        <v>115</v>
      </c>
      <c r="F43" s="105"/>
      <c r="G43" s="133"/>
      <c r="H43" s="144"/>
    </row>
    <row r="44" hidden="1" spans="1:8" x14ac:dyDescent="0.25">
      <c r="A44" s="147"/>
      <c r="B44" s="133"/>
      <c r="C44" s="133"/>
      <c r="D44" s="133"/>
      <c r="E44" s="133"/>
      <c r="F44" s="133"/>
      <c r="G44" s="133"/>
      <c r="H44" s="124"/>
    </row>
    <row r="45" ht="14.4" customHeight="1" hidden="1" spans="1:8" x14ac:dyDescent="0.25">
      <c r="A45" s="145"/>
      <c r="B45" s="146"/>
      <c r="C45" s="133"/>
      <c r="D45" s="133"/>
      <c r="E45" s="133"/>
      <c r="F45" s="133"/>
      <c r="G45" s="133"/>
      <c r="H45" s="124"/>
    </row>
    <row r="46" ht="14.4" customHeight="1" hidden="1" spans="1:8" x14ac:dyDescent="0.25">
      <c r="A46" s="145" t="s">
        <v>116</v>
      </c>
      <c r="B46" s="146"/>
      <c r="C46" s="148" t="s">
        <v>117</v>
      </c>
      <c r="D46" s="133"/>
      <c r="E46" s="133" t="s">
        <v>116</v>
      </c>
      <c r="F46" s="148" t="s">
        <v>117</v>
      </c>
      <c r="G46" s="133"/>
      <c r="H46" s="124"/>
    </row>
    <row r="47" ht="15" customHeight="1" hidden="1" spans="1:8" x14ac:dyDescent="0.25">
      <c r="A47" s="149"/>
      <c r="B47" s="150"/>
      <c r="C47" s="150"/>
      <c r="D47" s="150"/>
      <c r="E47" s="150"/>
      <c r="F47" s="150"/>
      <c r="G47" s="150"/>
      <c r="H47" s="151"/>
    </row>
  </sheetData>
  <mergeCells count="63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3:H23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</mergeCells>
  <pageMargins left="0.7086614173228347" right="0.7086614173228347" top="0.7480314960629921" bottom="0.7480314960629921" header="0.31496062992125984" footer="0.31496062992125984"/>
  <pageSetup orientation="portrait" horizontalDpi="360" verticalDpi="360" scale="9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BG_ChemX 119266 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マスリカ</dc:creator>
  <cp:lastModifiedBy>PT Mandiri Inovasi Bersama</cp:lastModifiedBy>
  <cp:lastPrinted>2025-01-20T04:10:35Z</cp:lastPrinted>
  <dcterms:created xsi:type="dcterms:W3CDTF">2009-04-09T00:48:12Z</dcterms:created>
  <dcterms:modified xsi:type="dcterms:W3CDTF">2025-01-20T04:13:03Z</dcterms:modified>
</cp:coreProperties>
</file>