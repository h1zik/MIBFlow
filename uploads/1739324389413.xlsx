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 Chlorine Bleach 0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<sst xmlns="http://schemas.openxmlformats.org/spreadsheetml/2006/main" count="123" uniqueCount="107">
  <si>
    <t>Tanggal produksi</t>
  </si>
  <si>
    <t>Nama Produk</t>
  </si>
  <si>
    <t>MIB Chlorine Bleach 01</t>
  </si>
  <si>
    <t>Batch No.</t>
  </si>
  <si>
    <t>BLENDING GUIDE &amp; SPKP</t>
  </si>
  <si>
    <t>No Resep</t>
  </si>
  <si>
    <t>Tank No.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</si>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</sst>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0.00_ "/>
    <numFmt numFmtId="166" formatCode="0.000_ "/>
    <numFmt numFmtId="167" formatCode="0.0_ "/>
    <numFmt numFmtId="168" formatCode="#,##0.000"/>
  </numFmts>
  <fonts count="26">
    <font>
      <sz val="11.0"/>
      <color rgb="FF000000"/>
      <name val="MS PGothic"/>
      <scheme val="minor"/>
    </font>
    <font>
      <sz val="11.0"/>
      <color theme="1"/>
      <name val="MS PGothic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/>
    <font>
      <b/>
      <sz val="11.0"/>
      <color theme="1"/>
      <name val="MS PGothic"/>
    </font>
    <font>
      <b/>
      <sz val="12.0"/>
      <color rgb="FFFF0000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trike/>
      <sz val="11.0"/>
      <color theme="1"/>
      <name val="Times New Roman"/>
    </font>
    <font>
      <sz val="11.0"/>
      <color rgb="FFFF0000"/>
      <name val="Times New Roman"/>
    </font>
    <font>
      <strike/>
      <u/>
      <sz val="11.0"/>
      <color rgb="FFFF0000"/>
      <name val="Times New Roman"/>
    </font>
    <font>
      <sz val="11.0"/>
      <color theme="0"/>
      <name val="Times New Roman"/>
    </font>
    <font>
      <sz val="11.0"/>
      <color theme="0"/>
      <name val="MS PGothic"/>
    </font>
    <font>
      <strike/>
      <u/>
      <sz val="11.0"/>
      <color rgb="FFFF0000"/>
      <name val="Times New Roman"/>
    </font>
    <font>
      <strike/>
      <u/>
      <sz val="11.0"/>
      <color rgb="FFFF0000"/>
      <name val="Times New Roman"/>
    </font>
    <font>
      <strike/>
      <u/>
      <sz val="11.0"/>
      <color theme="1"/>
      <name val="Times New Roman"/>
    </font>
    <font>
      <color theme="1"/>
      <name val="MS PGothic"/>
      <scheme val="minor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MS PGothic"/>
    </font>
    <font>
      <b/>
      <sz val="10.0"/>
      <color rgb="FFFF0000"/>
      <name val="MS PGothic"/>
    </font>
    <font>
      <b/>
      <sz val="10.0"/>
      <color rgb="FF000000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6" numFmtId="15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5" fillId="0" fontId="8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vertical="center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vertical="center"/>
    </xf>
    <xf borderId="21" fillId="0" fontId="4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1" fillId="0" fontId="9" numFmtId="0" xfId="0" applyAlignment="1" applyBorder="1" applyFont="1">
      <alignment horizontal="left" readingOrder="0" shrinkToFit="0" vertical="center" wrapText="0"/>
    </xf>
    <xf borderId="22" fillId="0" fontId="8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27" fillId="0" fontId="1" numFmtId="0" xfId="0" applyAlignment="1" applyBorder="1" applyFont="1">
      <alignment shrinkToFit="0" vertical="center" wrapText="0"/>
    </xf>
    <xf borderId="28" fillId="2" fontId="4" numFmtId="0" xfId="0" applyAlignment="1" applyBorder="1" applyFill="1" applyFont="1">
      <alignment horizontal="right" shrinkToFit="0" vertical="center" wrapText="0"/>
    </xf>
    <xf borderId="29" fillId="2" fontId="4" numFmtId="0" xfId="0" applyAlignment="1" applyBorder="1" applyFont="1">
      <alignment shrinkToFit="0" vertical="center" wrapText="0"/>
    </xf>
    <xf borderId="30" fillId="2" fontId="4" numFmtId="0" xfId="0" applyAlignment="1" applyBorder="1" applyFont="1">
      <alignment shrinkToFit="0" vertical="center" wrapText="0"/>
    </xf>
    <xf borderId="31" fillId="2" fontId="10" numFmtId="0" xfId="0" applyAlignment="1" applyBorder="1" applyFont="1">
      <alignment shrinkToFit="0" vertical="center" wrapText="0"/>
    </xf>
    <xf borderId="32" fillId="2" fontId="4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33" fillId="2" fontId="1" numFmtId="0" xfId="0" applyAlignment="1" applyBorder="1" applyFont="1">
      <alignment shrinkToFit="0" vertical="center" wrapText="0"/>
    </xf>
    <xf borderId="34" fillId="0" fontId="4" numFmtId="0" xfId="0" applyAlignment="1" applyBorder="1" applyFont="1">
      <alignment horizontal="center" shrinkToFit="0" vertical="center" wrapText="0"/>
    </xf>
    <xf borderId="35" fillId="0" fontId="4" numFmtId="0" xfId="0" applyAlignment="1" applyBorder="1" applyFont="1">
      <alignment shrinkToFit="0" vertical="center" wrapText="0"/>
    </xf>
    <xf borderId="36" fillId="0" fontId="11" numFmtId="0" xfId="0" applyAlignment="1" applyBorder="1" applyFont="1">
      <alignment shrinkToFit="0" vertical="center" wrapText="0"/>
    </xf>
    <xf borderId="17" fillId="0" fontId="12" numFmtId="2" xfId="0" applyAlignment="1" applyBorder="1" applyFont="1" applyNumberFormat="1">
      <alignment shrinkToFit="0" vertical="center" wrapText="0"/>
    </xf>
    <xf borderId="35" fillId="0" fontId="3" numFmtId="165" xfId="0" applyAlignment="1" applyBorder="1" applyFont="1" applyNumberFormat="1">
      <alignment shrinkToFit="0" vertical="center" wrapText="0"/>
    </xf>
    <xf borderId="34" fillId="0" fontId="13" numFmtId="0" xfId="0" applyAlignment="1" applyBorder="1" applyFont="1">
      <alignment shrinkToFit="0" vertical="center" wrapText="0"/>
    </xf>
    <xf borderId="10" fillId="0" fontId="14" numFmtId="38" xfId="0" applyAlignment="1" applyBorder="1" applyFont="1" applyNumberFormat="1">
      <alignment shrinkToFit="0" vertical="center" wrapText="0"/>
    </xf>
    <xf borderId="37" fillId="0" fontId="14" numFmtId="0" xfId="0" applyAlignment="1" applyBorder="1" applyFont="1">
      <alignment shrinkToFit="0" vertical="center" wrapText="0"/>
    </xf>
    <xf borderId="38" fillId="0" fontId="4" numFmtId="0" xfId="0" applyAlignment="1" applyBorder="1" applyFont="1">
      <alignment shrinkToFit="0" vertical="center" wrapText="0"/>
    </xf>
    <xf borderId="15" fillId="0" fontId="15" numFmtId="2" xfId="0" applyAlignment="1" applyBorder="1" applyFont="1" applyNumberFormat="1">
      <alignment shrinkToFit="0" vertical="center" wrapText="0"/>
    </xf>
    <xf borderId="35" fillId="3" fontId="4" numFmtId="0" xfId="0" applyAlignment="1" applyBorder="1" applyFill="1" applyFont="1">
      <alignment shrinkToFit="0" vertical="center" wrapText="0"/>
    </xf>
    <xf borderId="16" fillId="0" fontId="11" numFmtId="0" xfId="0" applyAlignment="1" applyBorder="1" applyFon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39" fillId="0" fontId="13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horizontal="center" shrinkToFit="0" vertical="center" wrapText="0"/>
    </xf>
    <xf borderId="40" fillId="0" fontId="1" numFmtId="0" xfId="0" applyAlignment="1" applyBorder="1" applyFont="1">
      <alignment shrinkToFit="0" vertical="center" wrapText="0"/>
    </xf>
    <xf borderId="20" fillId="0" fontId="11" numFmtId="0" xfId="0" applyAlignment="1" applyBorder="1" applyFont="1">
      <alignment shrinkToFit="0" vertical="center" wrapText="0"/>
    </xf>
    <xf borderId="24" fillId="0" fontId="16" numFmtId="2" xfId="0" applyAlignment="1" applyBorder="1" applyFont="1" applyNumberFormat="1">
      <alignment shrinkToFit="0" vertical="center" wrapText="0"/>
    </xf>
    <xf borderId="41" fillId="0" fontId="3" numFmtId="166" xfId="0" applyAlignment="1" applyBorder="1" applyFont="1" applyNumberFormat="1">
      <alignment shrinkToFit="0" vertical="center" wrapText="0"/>
    </xf>
    <xf borderId="19" fillId="0" fontId="13" numFmtId="0" xfId="0" applyAlignment="1" applyBorder="1" applyFont="1">
      <alignment shrinkToFit="0" vertical="center" wrapText="0"/>
    </xf>
    <xf borderId="42" fillId="0" fontId="14" numFmtId="38" xfId="0" applyAlignment="1" applyBorder="1" applyFont="1" applyNumberFormat="1">
      <alignment shrinkToFit="0" vertical="center" wrapText="0"/>
    </xf>
    <xf borderId="43" fillId="0" fontId="14" numFmtId="0" xfId="0" applyAlignment="1" applyBorder="1" applyFont="1">
      <alignment shrinkToFit="0" vertical="center" wrapText="0"/>
    </xf>
    <xf borderId="26" fillId="0" fontId="4" numFmtId="0" xfId="0" applyAlignment="1" applyBorder="1" applyFont="1">
      <alignment shrinkToFit="0" vertical="center" wrapText="0"/>
    </xf>
    <xf borderId="9" fillId="0" fontId="17" numFmtId="2" xfId="0" applyAlignment="1" applyBorder="1" applyFont="1" applyNumberFormat="1">
      <alignment shrinkToFit="0" vertical="center" wrapText="0"/>
    </xf>
    <xf borderId="38" fillId="0" fontId="8" numFmtId="167" xfId="0" applyAlignment="1" applyBorder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38" xfId="0" applyAlignment="1" applyFont="1" applyNumberFormat="1">
      <alignment shrinkToFit="0" vertical="center" wrapText="0"/>
    </xf>
    <xf borderId="27" fillId="0" fontId="14" numFmtId="38" xfId="0" applyAlignment="1" applyBorder="1" applyFont="1" applyNumberFormat="1">
      <alignment shrinkToFit="0" vertical="center" wrapText="0"/>
    </xf>
    <xf borderId="44" fillId="0" fontId="8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5" fillId="0" fontId="4" numFmtId="0" xfId="0" applyAlignment="1" applyBorder="1" applyFont="1">
      <alignment shrinkToFit="0" vertical="center" wrapText="0"/>
    </xf>
    <xf borderId="6" fillId="0" fontId="3" numFmtId="167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26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32" fillId="0" fontId="4" numFmtId="0" xfId="0" applyAlignment="1" applyBorder="1" applyFont="1">
      <alignment shrinkToFit="0" vertical="center" wrapText="0"/>
    </xf>
    <xf borderId="47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10" fillId="0" fontId="4" numFmtId="49" xfId="0" applyAlignment="1" applyBorder="1" applyFont="1" applyNumberFormat="1">
      <alignment shrinkToFit="0" vertical="center" wrapText="0"/>
    </xf>
    <xf borderId="48" fillId="0" fontId="4" numFmtId="0" xfId="0" applyAlignment="1" applyBorder="1" applyFont="1">
      <alignment shrinkToFit="0" vertical="center" wrapText="0"/>
    </xf>
    <xf borderId="49" fillId="0" fontId="4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shrinkToFit="0" vertical="center" wrapText="0"/>
    </xf>
    <xf borderId="50" fillId="0" fontId="4" numFmtId="0" xfId="0" applyAlignment="1" applyBorder="1" applyFont="1">
      <alignment shrinkToFit="0" vertical="center" wrapText="0"/>
    </xf>
    <xf borderId="10" fillId="0" fontId="4" numFmtId="16" xfId="0" applyAlignment="1" applyBorder="1" applyFont="1" applyNumberFormat="1">
      <alignment shrinkToFit="0" vertical="center" wrapText="0"/>
    </xf>
    <xf borderId="51" fillId="0" fontId="4" numFmtId="0" xfId="0" applyAlignment="1" applyBorder="1" applyFont="1">
      <alignment shrinkToFit="0" vertical="center" wrapText="0"/>
    </xf>
    <xf borderId="52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53" fillId="0" fontId="4" numFmtId="0" xfId="0" applyAlignment="1" applyBorder="1" applyFont="1">
      <alignment shrinkToFit="0" vertical="center" wrapText="0"/>
    </xf>
    <xf borderId="42" fillId="0" fontId="4" numFmtId="0" xfId="0" applyAlignment="1" applyBorder="1" applyFont="1">
      <alignment shrinkToFit="0" vertical="center" wrapText="0"/>
    </xf>
    <xf borderId="54" fillId="0" fontId="4" numFmtId="0" xfId="0" applyAlignment="1" applyBorder="1" applyFont="1">
      <alignment shrinkToFit="0" vertical="center" wrapText="0"/>
    </xf>
    <xf borderId="43" fillId="0" fontId="1" numFmtId="0" xfId="0" applyAlignment="1" applyBorder="1" applyFont="1">
      <alignment shrinkToFit="0" vertical="center" wrapText="0"/>
    </xf>
    <xf borderId="0" fillId="0" fontId="18" numFmtId="0" xfId="0" applyAlignment="1" applyFont="1">
      <alignment vertical="center"/>
    </xf>
    <xf borderId="26" fillId="0" fontId="1" numFmtId="0" xfId="0" applyAlignment="1" applyBorder="1" applyFont="1">
      <alignment shrinkToFit="0" vertical="center" wrapText="0"/>
    </xf>
    <xf borderId="44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53" fillId="0" fontId="1" numFmtId="0" xfId="0" applyAlignment="1" applyBorder="1" applyFont="1">
      <alignment shrinkToFit="0" vertical="center" wrapText="0"/>
    </xf>
    <xf borderId="44" fillId="0" fontId="19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vertical="center"/>
    </xf>
    <xf borderId="26" fillId="0" fontId="19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27" fillId="0" fontId="19" numFmtId="0" xfId="0" applyAlignment="1" applyBorder="1" applyFont="1">
      <alignment horizontal="center" shrinkToFit="0" vertical="bottom" wrapText="0"/>
    </xf>
    <xf borderId="26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15" fillId="0" fontId="20" numFmtId="0" xfId="0" applyAlignment="1" applyBorder="1" applyFont="1">
      <alignment horizontal="left" shrinkToFit="0" vertical="bottom" wrapText="0"/>
    </xf>
    <xf borderId="55" fillId="0" fontId="20" numFmtId="0" xfId="0" applyAlignment="1" applyBorder="1" applyFont="1">
      <alignment horizontal="left" shrinkToFit="0" vertical="bottom" wrapText="0"/>
    </xf>
    <xf borderId="55" fillId="0" fontId="20" numFmtId="0" xfId="0" applyAlignment="1" applyBorder="1" applyFont="1">
      <alignment horizontal="center" shrinkToFit="0" vertical="bottom" wrapText="0"/>
    </xf>
    <xf borderId="56" fillId="0" fontId="20" numFmtId="0" xfId="0" applyAlignment="1" applyBorder="1" applyFont="1">
      <alignment horizontal="center" shrinkToFit="0" vertical="bottom" wrapText="0"/>
    </xf>
    <xf borderId="26" fillId="0" fontId="21" numFmtId="0" xfId="0" applyAlignment="1" applyBorder="1" applyFont="1">
      <alignment horizontal="lef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2" numFmtId="164" xfId="0" applyAlignment="1" applyFont="1" applyNumberFormat="1">
      <alignment horizontal="left"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3" numFmtId="0" xfId="0" applyAlignment="1" applyFont="1">
      <alignment horizontal="center" shrinkToFit="0" vertical="bottom" wrapText="1"/>
    </xf>
    <xf borderId="27" fillId="0" fontId="5" numFmtId="0" xfId="0" applyAlignment="1" applyBorder="1" applyFont="1">
      <alignment vertical="center"/>
    </xf>
    <xf borderId="0" fillId="0" fontId="22" numFmtId="0" xfId="0" applyAlignment="1" applyFont="1">
      <alignment shrinkToFit="0" vertical="bottom" wrapText="1"/>
    </xf>
    <xf borderId="0" fillId="0" fontId="21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left" shrinkToFit="0" vertical="bottom" wrapText="0"/>
    </xf>
    <xf borderId="27" fillId="0" fontId="1" numFmtId="0" xfId="0" applyAlignment="1" applyBorder="1" applyFont="1">
      <alignment shrinkToFit="0" vertical="bottom" wrapText="0"/>
    </xf>
    <xf borderId="26" fillId="0" fontId="20" numFmtId="0" xfId="0" applyAlignment="1" applyBorder="1" applyFont="1">
      <alignment horizontal="left" shrinkToFit="0" vertical="bottom" wrapText="0"/>
    </xf>
    <xf borderId="9" fillId="0" fontId="21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shrinkToFit="0" vertical="bottom" wrapText="0"/>
    </xf>
    <xf borderId="57" fillId="0" fontId="22" numFmtId="164" xfId="0" applyAlignment="1" applyBorder="1" applyFont="1" applyNumberFormat="1">
      <alignment shrinkToFit="0" vertical="bottom" wrapText="0"/>
    </xf>
    <xf borderId="57" fillId="0" fontId="21" numFmtId="0" xfId="0" applyAlignment="1" applyBorder="1" applyFont="1">
      <alignment horizontal="left" shrinkToFit="0" vertical="bottom" wrapText="0"/>
    </xf>
    <xf borderId="57" fillId="0" fontId="22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7" fillId="0" fontId="20" numFmtId="0" xfId="0" applyAlignment="1" applyBorder="1" applyFont="1">
      <alignment horizontal="center" shrinkToFit="0" vertical="bottom" wrapText="0"/>
    </xf>
    <xf borderId="48" fillId="0" fontId="24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vertical="center"/>
    </xf>
    <xf borderId="37" fillId="0" fontId="24" numFmtId="0" xfId="0" applyAlignment="1" applyBorder="1" applyFont="1">
      <alignment horizontal="center" shrinkToFit="0" vertical="center" wrapText="1"/>
    </xf>
    <xf borderId="48" fillId="0" fontId="20" numFmtId="0" xfId="0" applyAlignment="1" applyBorder="1" applyFont="1">
      <alignment horizontal="center" shrinkToFit="0" vertical="bottom" wrapText="1"/>
    </xf>
    <xf borderId="17" fillId="0" fontId="24" numFmtId="168" xfId="0" applyAlignment="1" applyBorder="1" applyFont="1" applyNumberForma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bottom" wrapText="1"/>
    </xf>
    <xf borderId="17" fillId="0" fontId="25" numFmtId="0" xfId="0" applyAlignment="1" applyBorder="1" applyFont="1">
      <alignment horizontal="center" shrinkToFit="0" vertical="center" wrapText="1"/>
    </xf>
    <xf borderId="17" fillId="0" fontId="25" numFmtId="3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horizontal="center" shrinkToFit="0" vertical="center" wrapText="1"/>
    </xf>
    <xf borderId="27" fillId="0" fontId="20" numFmtId="0" xfId="0" applyAlignment="1" applyBorder="1" applyFont="1">
      <alignment shrinkToFit="0" vertical="bottom" wrapText="0"/>
    </xf>
    <xf borderId="26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53" fillId="0" fontId="20" numFmtId="0" xfId="0" applyAlignment="1" applyBorder="1" applyFont="1">
      <alignment shrinkToFit="0" vertical="bottom" wrapText="0"/>
    </xf>
    <xf borderId="21" fillId="0" fontId="20" numFmtId="0" xfId="0" applyAlignment="1" applyBorder="1" applyFont="1">
      <alignment shrinkToFit="0" vertical="bottom" wrapText="0"/>
    </xf>
    <xf borderId="46" fillId="0" fontId="2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51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52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247650</xdr:colOff>
      <xdr:row>2</xdr:row>
      <xdr:rowOff>142875</xdr:rowOff>
    </xdr:from>
    <xdr:ext cx="4572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63"/>
    <col customWidth="1" min="3" max="3" width="21.63"/>
    <col customWidth="1" min="4" max="4" width="15.25"/>
    <col customWidth="1" min="5" max="5" width="16.5"/>
    <col customWidth="1" min="6" max="6" width="20.75"/>
    <col customWidth="1" min="7" max="7" width="8.0"/>
    <col customWidth="1" min="8" max="8" width="12.13"/>
    <col customWidth="1" min="9" max="9" width="10.25"/>
    <col customWidth="1" min="10" max="10" width="15.5"/>
    <col customWidth="1" min="11" max="26" width="8.0"/>
  </cols>
  <sheetData>
    <row r="1" ht="12.75" customHeight="1"/>
    <row r="2" ht="13.5" customHeight="1"/>
    <row r="3" ht="44.25" customHeight="1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/>
      <c r="I3" s="7" t="s">
        <v>4</v>
      </c>
      <c r="J3" s="8"/>
    </row>
    <row r="4" ht="13.5" customHeight="1">
      <c r="B4" s="9"/>
      <c r="C4" s="10"/>
      <c r="D4" s="11" t="s">
        <v>5</v>
      </c>
      <c r="E4" s="12"/>
      <c r="F4" s="13">
        <v>1.0</v>
      </c>
      <c r="G4" s="14" t="s">
        <v>6</v>
      </c>
      <c r="H4" s="14">
        <v>1.0</v>
      </c>
      <c r="I4" s="15"/>
      <c r="J4" s="16"/>
    </row>
    <row r="5" ht="15.0" customHeight="1">
      <c r="B5" s="17"/>
      <c r="C5" s="18"/>
      <c r="D5" s="19" t="s">
        <v>7</v>
      </c>
      <c r="E5" s="12"/>
      <c r="F5" s="20" t="s">
        <v>8</v>
      </c>
      <c r="G5" s="21" t="s">
        <v>9</v>
      </c>
      <c r="H5" s="22"/>
      <c r="I5" s="23" t="s">
        <v>10</v>
      </c>
      <c r="J5" s="24" t="s">
        <v>11</v>
      </c>
    </row>
    <row r="6" ht="18.0" customHeight="1">
      <c r="B6" s="25" t="s">
        <v>12</v>
      </c>
      <c r="C6" s="26"/>
      <c r="D6" s="27" t="s">
        <v>13</v>
      </c>
      <c r="E6" s="28"/>
      <c r="F6" s="29">
        <v>1000.0</v>
      </c>
      <c r="G6" s="30"/>
      <c r="H6" s="31"/>
      <c r="I6" s="32" t="s">
        <v>14</v>
      </c>
      <c r="J6" s="33" t="s">
        <v>15</v>
      </c>
    </row>
    <row r="7" ht="14.25" customHeight="1">
      <c r="B7" s="34" t="s">
        <v>16</v>
      </c>
      <c r="C7" s="35"/>
      <c r="D7" s="19" t="s">
        <v>17</v>
      </c>
      <c r="E7" s="19"/>
      <c r="F7" s="36">
        <v>45491.0</v>
      </c>
      <c r="G7" s="19"/>
      <c r="H7" s="19"/>
      <c r="I7" s="12"/>
      <c r="J7" s="37"/>
    </row>
    <row r="8" ht="13.5" customHeight="1">
      <c r="B8" s="38" t="s">
        <v>18</v>
      </c>
      <c r="C8" s="39" t="s">
        <v>19</v>
      </c>
      <c r="D8" s="40" t="s">
        <v>20</v>
      </c>
      <c r="E8" s="41" t="s">
        <v>21</v>
      </c>
      <c r="F8" s="39" t="s">
        <v>22</v>
      </c>
      <c r="G8" s="19"/>
      <c r="H8" s="42" t="s">
        <v>23</v>
      </c>
      <c r="I8" s="43" t="s">
        <v>24</v>
      </c>
      <c r="J8" s="44" t="s">
        <v>25</v>
      </c>
    </row>
    <row r="9" ht="15.0" customHeight="1">
      <c r="B9" s="45">
        <v>1.0</v>
      </c>
      <c r="C9" s="46" t="s">
        <v>26</v>
      </c>
      <c r="D9" s="47"/>
      <c r="E9" s="48">
        <f>100-SUM(E10:E13)</f>
        <v>85.75</v>
      </c>
      <c r="F9" s="49">
        <f t="shared" ref="F9:F14" si="1">(E9/100)*$F$6</f>
        <v>857.5</v>
      </c>
      <c r="G9" s="19" t="s">
        <v>27</v>
      </c>
      <c r="H9" s="50">
        <v>11000.0</v>
      </c>
      <c r="I9" s="51">
        <f>E9*H9</f>
        <v>943250</v>
      </c>
      <c r="J9" s="52"/>
    </row>
    <row r="10" ht="15.0" customHeight="1">
      <c r="B10" s="45">
        <v>2.0</v>
      </c>
      <c r="C10" s="53" t="s">
        <v>28</v>
      </c>
      <c r="D10" s="47"/>
      <c r="E10" s="54">
        <v>0.25</v>
      </c>
      <c r="F10" s="49">
        <f t="shared" si="1"/>
        <v>2.5</v>
      </c>
      <c r="G10" s="19" t="s">
        <v>27</v>
      </c>
      <c r="H10" s="50"/>
      <c r="I10" s="51">
        <f t="shared" ref="I10:I11" si="2">E13*H10</f>
        <v>0</v>
      </c>
      <c r="J10" s="52"/>
    </row>
    <row r="11" ht="15.0" customHeight="1">
      <c r="B11" s="45">
        <v>3.0</v>
      </c>
      <c r="C11" s="55" t="s">
        <v>29</v>
      </c>
      <c r="D11" s="47"/>
      <c r="E11" s="48">
        <v>1.0</v>
      </c>
      <c r="F11" s="49">
        <f t="shared" si="1"/>
        <v>10</v>
      </c>
      <c r="G11" s="19" t="s">
        <v>27</v>
      </c>
      <c r="H11" s="50"/>
      <c r="I11" s="51">
        <f t="shared" si="2"/>
        <v>0</v>
      </c>
      <c r="J11" s="52"/>
    </row>
    <row r="12" ht="15.0" customHeight="1">
      <c r="B12" s="45">
        <v>4.0</v>
      </c>
      <c r="C12" s="53" t="s">
        <v>30</v>
      </c>
      <c r="D12" s="56"/>
      <c r="E12" s="54">
        <v>3.0</v>
      </c>
      <c r="F12" s="49">
        <f t="shared" si="1"/>
        <v>30</v>
      </c>
      <c r="G12" s="19" t="s">
        <v>27</v>
      </c>
      <c r="H12" s="50"/>
      <c r="I12" s="51" t="str">
        <f>#REF!*H12</f>
        <v>#REF!</v>
      </c>
      <c r="J12" s="52"/>
    </row>
    <row r="13" ht="15.0" customHeight="1">
      <c r="B13" s="45">
        <v>5.0</v>
      </c>
      <c r="C13" s="46" t="s">
        <v>31</v>
      </c>
      <c r="D13" s="47"/>
      <c r="E13" s="48">
        <v>10.0</v>
      </c>
      <c r="F13" s="49">
        <f t="shared" si="1"/>
        <v>100</v>
      </c>
      <c r="G13" s="19" t="s">
        <v>27</v>
      </c>
      <c r="H13" s="50"/>
      <c r="I13" s="51">
        <f>E11*H13</f>
        <v>0</v>
      </c>
      <c r="J13" s="52"/>
    </row>
    <row r="14" ht="15.0" customHeight="1">
      <c r="B14" s="45">
        <v>6.0</v>
      </c>
      <c r="C14" s="46"/>
      <c r="D14" s="47"/>
      <c r="E14" s="48"/>
      <c r="F14" s="49">
        <f t="shared" si="1"/>
        <v>0</v>
      </c>
      <c r="G14" s="57" t="s">
        <v>27</v>
      </c>
      <c r="H14" s="58"/>
      <c r="I14" s="51">
        <f>E10*H14</f>
        <v>0</v>
      </c>
      <c r="J14" s="52"/>
    </row>
    <row r="15" ht="15.75" customHeight="1">
      <c r="B15" s="59">
        <v>9.0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>
      <c r="B16" s="67"/>
      <c r="C16" s="19"/>
      <c r="D16" s="19"/>
      <c r="E16" s="68">
        <f t="shared" ref="E16:F16" si="3">SUM(E9:E15)</f>
        <v>100</v>
      </c>
      <c r="F16" s="69">
        <f t="shared" si="3"/>
        <v>1000</v>
      </c>
      <c r="G16" s="19" t="s">
        <v>27</v>
      </c>
      <c r="H16" s="70"/>
      <c r="I16" s="71" t="str">
        <f>SUM(I9:I15)</f>
        <v>#REF!</v>
      </c>
      <c r="J16" s="72" t="str">
        <f>I16/100</f>
        <v>#REF!</v>
      </c>
    </row>
    <row r="17" ht="15.0" customHeight="1">
      <c r="B17" s="73" t="s">
        <v>32</v>
      </c>
      <c r="C17" s="74"/>
      <c r="D17" s="74"/>
      <c r="E17" s="75" t="s">
        <v>33</v>
      </c>
      <c r="F17" s="76">
        <v>5.0</v>
      </c>
      <c r="G17" s="74" t="s">
        <v>34</v>
      </c>
      <c r="H17" s="74"/>
      <c r="I17" s="4"/>
      <c r="J17" s="77"/>
    </row>
    <row r="18" ht="15.0" customHeight="1">
      <c r="B18" s="67">
        <v>1.0</v>
      </c>
      <c r="C18" s="19" t="s">
        <v>35</v>
      </c>
      <c r="D18" s="19"/>
      <c r="E18" s="19"/>
      <c r="F18" s="78"/>
      <c r="G18" s="19"/>
      <c r="H18" s="19"/>
      <c r="I18" s="12"/>
      <c r="J18" s="37"/>
    </row>
    <row r="19" ht="13.5" customHeight="1">
      <c r="B19" s="67">
        <v>2.0</v>
      </c>
      <c r="C19" s="19" t="s">
        <v>36</v>
      </c>
      <c r="D19" s="19"/>
      <c r="E19" s="19"/>
      <c r="F19" s="19"/>
      <c r="G19" s="19"/>
      <c r="H19" s="19"/>
      <c r="I19" s="12"/>
      <c r="J19" s="37"/>
    </row>
    <row r="20" ht="13.5" customHeight="1">
      <c r="B20" s="67">
        <v>3.0</v>
      </c>
      <c r="C20" s="19" t="s">
        <v>37</v>
      </c>
      <c r="D20" s="19"/>
      <c r="E20" s="19"/>
      <c r="F20" s="19"/>
      <c r="G20" s="19"/>
      <c r="H20" s="19"/>
      <c r="I20" s="12"/>
      <c r="J20" s="37"/>
    </row>
    <row r="21" ht="13.5" customHeight="1">
      <c r="B21" s="67">
        <v>4.0</v>
      </c>
      <c r="C21" s="19" t="s">
        <v>38</v>
      </c>
      <c r="D21" s="19"/>
      <c r="E21" s="19"/>
      <c r="F21" s="19"/>
      <c r="G21" s="19"/>
      <c r="H21" s="19"/>
      <c r="I21" s="12"/>
      <c r="J21" s="37"/>
    </row>
    <row r="22" ht="13.5" customHeight="1">
      <c r="B22" s="34" t="s">
        <v>39</v>
      </c>
      <c r="C22" s="19"/>
      <c r="D22" s="19"/>
      <c r="E22" s="19"/>
      <c r="F22" s="19"/>
      <c r="G22" s="19"/>
      <c r="H22" s="19"/>
      <c r="I22" s="12"/>
      <c r="J22" s="37"/>
    </row>
    <row r="23" ht="13.5" customHeight="1">
      <c r="B23" s="67">
        <v>1.0</v>
      </c>
      <c r="C23" s="19" t="s">
        <v>40</v>
      </c>
      <c r="D23" s="19"/>
      <c r="E23" s="19"/>
      <c r="F23" s="19"/>
      <c r="G23" s="19"/>
      <c r="H23" s="19"/>
      <c r="I23" s="12"/>
      <c r="J23" s="37"/>
    </row>
    <row r="24" ht="27.0" customHeight="1">
      <c r="B24" s="79">
        <v>2.0</v>
      </c>
      <c r="C24" s="80" t="s">
        <v>41</v>
      </c>
      <c r="J24" s="37"/>
    </row>
    <row r="25" ht="13.5" customHeight="1">
      <c r="B25" s="67">
        <v>3.0</v>
      </c>
      <c r="C25" s="19" t="s">
        <v>42</v>
      </c>
      <c r="D25" s="19"/>
      <c r="E25" s="19"/>
      <c r="F25" s="19"/>
      <c r="G25" s="19"/>
      <c r="H25" s="19"/>
      <c r="I25" s="12"/>
      <c r="J25" s="37"/>
    </row>
    <row r="26" ht="13.5" customHeight="1">
      <c r="B26" s="67">
        <v>4.0</v>
      </c>
      <c r="C26" s="19" t="s">
        <v>43</v>
      </c>
      <c r="D26" s="19"/>
      <c r="E26" s="19"/>
      <c r="F26" s="19"/>
      <c r="G26" s="19"/>
      <c r="H26" s="19"/>
      <c r="I26" s="12"/>
      <c r="J26" s="37"/>
    </row>
    <row r="27" ht="13.5" customHeight="1">
      <c r="B27" s="67">
        <v>5.0</v>
      </c>
      <c r="C27" s="19" t="s">
        <v>44</v>
      </c>
      <c r="D27" s="19"/>
      <c r="E27" s="19"/>
      <c r="F27" s="19"/>
      <c r="G27" s="19"/>
      <c r="H27" s="19"/>
      <c r="I27" s="12"/>
      <c r="J27" s="37"/>
    </row>
    <row r="28" ht="13.5" customHeight="1">
      <c r="B28" s="34" t="s">
        <v>45</v>
      </c>
      <c r="C28" s="19"/>
      <c r="D28" s="19"/>
      <c r="E28" s="19"/>
      <c r="F28" s="19"/>
      <c r="G28" s="19"/>
      <c r="H28" s="19"/>
      <c r="I28" s="12"/>
      <c r="J28" s="37"/>
      <c r="O28" s="81">
        <v>44654.0</v>
      </c>
    </row>
    <row r="29" ht="13.5" customHeight="1">
      <c r="B29" s="67">
        <v>1.0</v>
      </c>
      <c r="C29" s="19" t="s">
        <v>46</v>
      </c>
      <c r="D29" s="19"/>
      <c r="E29" s="19"/>
      <c r="F29" s="19"/>
      <c r="G29" s="19"/>
      <c r="H29" s="19"/>
      <c r="I29" s="12"/>
      <c r="J29" s="37"/>
    </row>
    <row r="30" ht="13.5" customHeight="1">
      <c r="B30" s="67">
        <v>2.0</v>
      </c>
      <c r="C30" s="19" t="s">
        <v>47</v>
      </c>
      <c r="D30" s="19"/>
      <c r="E30" s="19"/>
      <c r="F30" s="19"/>
      <c r="G30" s="19"/>
      <c r="H30" s="19"/>
      <c r="I30" s="12"/>
      <c r="J30" s="37"/>
    </row>
    <row r="31" ht="13.5" customHeight="1">
      <c r="B31" s="67">
        <v>3.0</v>
      </c>
      <c r="C31" s="19" t="s">
        <v>48</v>
      </c>
      <c r="D31" s="19"/>
      <c r="E31" s="19"/>
      <c r="F31" s="19"/>
      <c r="G31" s="19"/>
      <c r="H31" s="19"/>
      <c r="I31" s="12"/>
      <c r="J31" s="37"/>
    </row>
    <row r="32" ht="13.5" customHeight="1">
      <c r="B32" s="67">
        <v>4.0</v>
      </c>
      <c r="C32" s="19" t="s">
        <v>49</v>
      </c>
      <c r="D32" s="19"/>
      <c r="E32" s="19"/>
      <c r="F32" s="19"/>
      <c r="G32" s="19"/>
      <c r="H32" s="19"/>
      <c r="I32" s="12"/>
      <c r="J32" s="37"/>
    </row>
    <row r="33" ht="13.5" customHeight="1">
      <c r="B33" s="67">
        <v>5.0</v>
      </c>
      <c r="C33" s="19" t="s">
        <v>50</v>
      </c>
      <c r="D33" s="19"/>
      <c r="E33" s="19"/>
      <c r="F33" s="19"/>
      <c r="G33" s="19"/>
      <c r="H33" s="19"/>
      <c r="I33" s="12"/>
      <c r="J33" s="37"/>
    </row>
    <row r="34" ht="13.5" customHeight="1">
      <c r="B34" s="67">
        <v>6.0</v>
      </c>
      <c r="C34" s="19" t="s">
        <v>51</v>
      </c>
      <c r="D34" s="19"/>
      <c r="E34" s="19"/>
      <c r="F34" s="19"/>
      <c r="G34" s="19"/>
      <c r="H34" s="19"/>
      <c r="I34" s="12"/>
      <c r="J34" s="37"/>
    </row>
    <row r="35" ht="13.5" customHeight="1">
      <c r="B35" s="67">
        <v>7.0</v>
      </c>
      <c r="C35" s="19" t="s">
        <v>52</v>
      </c>
      <c r="D35" s="19"/>
      <c r="E35" s="19"/>
      <c r="F35" s="19"/>
      <c r="G35" s="19"/>
      <c r="H35" s="19"/>
      <c r="I35" s="12"/>
      <c r="J35" s="37"/>
    </row>
    <row r="36" ht="14.25" customHeight="1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>
      <c r="B37" s="73" t="s">
        <v>53</v>
      </c>
      <c r="C37" s="74" t="s">
        <v>54</v>
      </c>
      <c r="D37" s="74"/>
      <c r="E37" s="74" t="s">
        <v>55</v>
      </c>
      <c r="F37" s="74"/>
      <c r="G37" s="74" t="s">
        <v>56</v>
      </c>
      <c r="H37" s="74"/>
      <c r="I37" s="4"/>
      <c r="J37" s="77"/>
    </row>
    <row r="38" ht="13.5" customHeight="1">
      <c r="B38" s="34"/>
      <c r="C38" s="14" t="s">
        <v>57</v>
      </c>
      <c r="D38" s="14" t="s">
        <v>58</v>
      </c>
      <c r="E38" s="14" t="s">
        <v>59</v>
      </c>
      <c r="F38" s="19"/>
      <c r="G38" s="83" t="s">
        <v>18</v>
      </c>
      <c r="H38" s="84" t="s">
        <v>19</v>
      </c>
      <c r="I38" s="85" t="s">
        <v>60</v>
      </c>
      <c r="J38" s="37"/>
    </row>
    <row r="39" ht="13.5" customHeight="1">
      <c r="B39" s="67">
        <v>1.0</v>
      </c>
      <c r="C39" s="14" t="s">
        <v>61</v>
      </c>
      <c r="D39" s="86" t="s">
        <v>62</v>
      </c>
      <c r="E39" s="14"/>
      <c r="F39" s="19"/>
      <c r="G39" s="87">
        <v>1.0</v>
      </c>
      <c r="H39" s="88" t="str">
        <f>#REF!</f>
        <v>#REF!</v>
      </c>
      <c r="I39" s="89"/>
      <c r="J39" s="37"/>
    </row>
    <row r="40" ht="13.5" customHeight="1">
      <c r="B40" s="67">
        <v>2.0</v>
      </c>
      <c r="C40" s="90" t="s">
        <v>63</v>
      </c>
      <c r="D40" s="90" t="s">
        <v>64</v>
      </c>
      <c r="E40" s="91"/>
      <c r="F40" s="19"/>
      <c r="G40" s="87">
        <v>2.0</v>
      </c>
      <c r="H40" s="88" t="str">
        <f>C9</f>
        <v>Aquadest</v>
      </c>
      <c r="I40" s="89"/>
      <c r="J40" s="37"/>
    </row>
    <row r="41" ht="13.5" customHeight="1">
      <c r="B41" s="67">
        <v>3.0</v>
      </c>
      <c r="C41" s="14" t="s">
        <v>65</v>
      </c>
      <c r="D41" s="14" t="s">
        <v>66</v>
      </c>
      <c r="E41" s="14"/>
      <c r="F41" s="19"/>
      <c r="G41" s="87">
        <v>3.0</v>
      </c>
      <c r="H41" s="88" t="str">
        <f t="shared" ref="H41:H42" si="4">C11</f>
        <v>SA 070</v>
      </c>
      <c r="I41" s="89"/>
      <c r="J41" s="37"/>
    </row>
    <row r="42" ht="13.5" customHeight="1">
      <c r="B42" s="67">
        <v>4.0</v>
      </c>
      <c r="C42" s="14" t="s">
        <v>67</v>
      </c>
      <c r="D42" s="14" t="s">
        <v>68</v>
      </c>
      <c r="E42" s="14"/>
      <c r="F42" s="19"/>
      <c r="G42" s="92">
        <v>4.0</v>
      </c>
      <c r="H42" s="88" t="str">
        <f t="shared" si="4"/>
        <v>TX 193</v>
      </c>
      <c r="I42" s="93"/>
      <c r="J42" s="37"/>
    </row>
    <row r="43" ht="13.5" customHeight="1">
      <c r="B43" s="67">
        <v>5.0</v>
      </c>
      <c r="C43" s="94"/>
      <c r="D43" s="94"/>
      <c r="E43" s="90"/>
      <c r="F43" s="19"/>
      <c r="G43" s="87">
        <v>5.0</v>
      </c>
      <c r="H43" s="88" t="str">
        <f>#REF!</f>
        <v>#REF!</v>
      </c>
      <c r="I43" s="89"/>
      <c r="J43" s="37"/>
    </row>
    <row r="44" ht="14.25" customHeight="1">
      <c r="B44" s="95"/>
      <c r="C44" s="96"/>
      <c r="D44" s="96"/>
      <c r="E44" s="96"/>
      <c r="F44" s="27"/>
      <c r="G44" s="97">
        <v>6.0</v>
      </c>
      <c r="H44" s="88" t="str">
        <f>C14</f>
        <v/>
      </c>
      <c r="I44" s="98"/>
      <c r="J44" s="82"/>
      <c r="T44" s="99">
        <f>88.58/80</f>
        <v>1.10725</v>
      </c>
    </row>
    <row r="45" ht="13.5" customHeight="1">
      <c r="B45" s="34" t="s">
        <v>69</v>
      </c>
      <c r="C45" s="19"/>
      <c r="D45" s="19"/>
      <c r="E45" s="19"/>
      <c r="F45" s="19"/>
      <c r="G45" s="19"/>
      <c r="H45" s="19"/>
      <c r="I45" s="12"/>
      <c r="J45" s="37"/>
    </row>
    <row r="46" ht="13.5" customHeight="1">
      <c r="B46" s="67">
        <v>1.0</v>
      </c>
      <c r="C46" s="19" t="s">
        <v>70</v>
      </c>
      <c r="D46" s="19"/>
      <c r="E46" s="19"/>
      <c r="F46" s="19"/>
      <c r="G46" s="19"/>
      <c r="H46" s="19"/>
      <c r="I46" s="12"/>
      <c r="J46" s="37"/>
    </row>
    <row r="47" ht="13.5" customHeight="1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>
      <c r="B48" s="34" t="s">
        <v>71</v>
      </c>
      <c r="C48" s="12"/>
      <c r="D48" s="12"/>
      <c r="E48" s="12"/>
      <c r="F48" s="12"/>
      <c r="G48" s="12"/>
      <c r="H48" s="12"/>
      <c r="I48" s="12"/>
      <c r="J48" s="37"/>
    </row>
    <row r="49" ht="14.25" customHeight="1">
      <c r="B49" s="95">
        <v>1.0</v>
      </c>
      <c r="C49" s="27" t="s">
        <v>72</v>
      </c>
      <c r="D49" s="28"/>
      <c r="E49" s="28"/>
      <c r="F49" s="28"/>
      <c r="G49" s="28"/>
      <c r="H49" s="28"/>
      <c r="I49" s="28"/>
      <c r="J49" s="82"/>
    </row>
    <row r="50" ht="13.5" customHeight="1">
      <c r="B50" s="73" t="s">
        <v>73</v>
      </c>
      <c r="C50" s="74"/>
      <c r="D50" s="4"/>
      <c r="E50" s="77"/>
      <c r="F50" s="73" t="s">
        <v>74</v>
      </c>
      <c r="G50" s="74"/>
      <c r="H50" s="4"/>
      <c r="I50" s="4"/>
      <c r="J50" s="77"/>
    </row>
    <row r="51" ht="12.75" customHeight="1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>
      <c r="B52" s="100"/>
      <c r="C52" s="19"/>
      <c r="D52" s="12"/>
      <c r="E52" s="37"/>
      <c r="F52" s="12"/>
      <c r="G52" s="19" t="s">
        <v>75</v>
      </c>
      <c r="H52" s="12"/>
      <c r="I52" s="12"/>
      <c r="J52" s="37"/>
    </row>
    <row r="53" ht="13.5" customHeight="1">
      <c r="B53" s="100"/>
      <c r="C53" s="19"/>
      <c r="D53" s="12"/>
      <c r="E53" s="37"/>
      <c r="F53" s="12"/>
      <c r="G53" s="19" t="s">
        <v>76</v>
      </c>
      <c r="H53" s="12"/>
      <c r="I53" s="12"/>
      <c r="J53" s="37"/>
    </row>
    <row r="54" ht="14.25" customHeight="1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>
      <c r="B55" s="101" t="s">
        <v>77</v>
      </c>
      <c r="C55" s="102"/>
      <c r="D55" s="102" t="s">
        <v>78</v>
      </c>
      <c r="E55" s="102"/>
      <c r="F55" s="103" t="s">
        <v>79</v>
      </c>
      <c r="G55" s="4"/>
      <c r="H55" s="4"/>
      <c r="I55" s="102" t="s">
        <v>80</v>
      </c>
      <c r="J55" s="77"/>
    </row>
    <row r="56" ht="12.75" customHeight="1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>
      <c r="B57" s="104" t="s">
        <v>81</v>
      </c>
      <c r="C57" s="28"/>
      <c r="D57" s="28" t="s">
        <v>82</v>
      </c>
      <c r="E57" s="28"/>
      <c r="F57" s="28" t="s">
        <v>83</v>
      </c>
      <c r="G57" s="28"/>
      <c r="H57" s="28"/>
      <c r="I57" s="28" t="s">
        <v>82</v>
      </c>
      <c r="J57" s="82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3:B5"/>
    <mergeCell ref="I3:J4"/>
    <mergeCell ref="C4:C5"/>
    <mergeCell ref="G5:H5"/>
    <mergeCell ref="B6:C6"/>
    <mergeCell ref="G6:H6"/>
    <mergeCell ref="C24:I24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1.63"/>
    <col customWidth="1" min="4" max="4" width="15.75"/>
    <col customWidth="1" min="5" max="5" width="21.25"/>
    <col customWidth="1" min="6" max="6" width="13.38"/>
    <col customWidth="1" min="7" max="26" width="8.0"/>
  </cols>
  <sheetData>
    <row r="1" ht="21.0" customHeight="1">
      <c r="A1" s="105" t="s">
        <v>84</v>
      </c>
      <c r="B1" s="106"/>
      <c r="C1" s="106"/>
      <c r="D1" s="106"/>
      <c r="E1" s="106"/>
      <c r="F1" s="106"/>
      <c r="G1" s="106"/>
      <c r="H1" s="8"/>
    </row>
    <row r="2" ht="21.0" customHeight="1">
      <c r="A2" s="107"/>
      <c r="B2" s="108"/>
      <c r="C2" s="108"/>
      <c r="D2" s="108"/>
      <c r="E2" s="108"/>
      <c r="F2" s="108"/>
      <c r="G2" s="108"/>
      <c r="H2" s="109"/>
    </row>
    <row r="3" ht="14.25" customHeight="1">
      <c r="A3" s="110"/>
      <c r="B3" s="111"/>
      <c r="C3" s="111"/>
      <c r="D3" s="112" t="s">
        <v>85</v>
      </c>
      <c r="E3" s="113"/>
      <c r="F3" s="114"/>
      <c r="G3" s="114"/>
      <c r="H3" s="115"/>
    </row>
    <row r="4" ht="25.5" customHeight="1">
      <c r="A4" s="116" t="s">
        <v>86</v>
      </c>
      <c r="B4" s="117" t="s">
        <v>87</v>
      </c>
      <c r="C4" s="118">
        <f>'BG Chlorine Bleach 01'!F7</f>
        <v>45491</v>
      </c>
      <c r="D4" s="119" t="s">
        <v>88</v>
      </c>
      <c r="E4" s="120" t="str">
        <f>'BG Chlorine Bleach 01'!F5</f>
        <v>Bleach cleaner chlorine based</v>
      </c>
      <c r="F4" s="121" t="s">
        <v>89</v>
      </c>
      <c r="G4" s="122" t="str">
        <f>'BG Chlorine Bleach 01'!F3</f>
        <v>MIB Chlorine Bleach 01</v>
      </c>
      <c r="H4" s="123"/>
    </row>
    <row r="5" ht="14.25" customHeight="1">
      <c r="A5" s="116" t="s">
        <v>90</v>
      </c>
      <c r="B5" s="117" t="s">
        <v>87</v>
      </c>
      <c r="C5" s="120" t="s">
        <v>80</v>
      </c>
      <c r="D5" s="119" t="s">
        <v>91</v>
      </c>
      <c r="E5" s="124"/>
      <c r="F5" s="125" t="s">
        <v>92</v>
      </c>
      <c r="G5" s="126">
        <f>'BG Chlorine Bleach 01'!F6</f>
        <v>1000</v>
      </c>
      <c r="H5" s="127"/>
    </row>
    <row r="6" ht="14.25" customHeight="1">
      <c r="A6" s="128"/>
      <c r="B6" s="117"/>
      <c r="C6" s="111"/>
      <c r="D6" s="129" t="s">
        <v>93</v>
      </c>
      <c r="E6" s="118">
        <f>'BG Chlorine Bleach 01'!F7</f>
        <v>45491</v>
      </c>
      <c r="F6" s="125" t="s">
        <v>69</v>
      </c>
      <c r="G6" s="120" t="s">
        <v>94</v>
      </c>
      <c r="H6" s="127"/>
    </row>
    <row r="7" ht="14.25" customHeight="1">
      <c r="A7" s="110"/>
      <c r="B7" s="111"/>
      <c r="C7" s="111"/>
      <c r="D7" s="130" t="s">
        <v>95</v>
      </c>
      <c r="E7" s="131"/>
      <c r="F7" s="132" t="s">
        <v>96</v>
      </c>
      <c r="G7" s="133">
        <v>200.0</v>
      </c>
      <c r="H7" s="134" t="s">
        <v>97</v>
      </c>
    </row>
    <row r="8" ht="14.25" customHeight="1">
      <c r="A8" s="110"/>
      <c r="B8" s="111"/>
      <c r="C8" s="111"/>
      <c r="D8" s="135"/>
      <c r="E8" s="135"/>
      <c r="F8" s="111"/>
      <c r="G8" s="111"/>
      <c r="H8" s="136"/>
    </row>
    <row r="9" ht="27.0" customHeight="1">
      <c r="A9" s="137" t="s">
        <v>98</v>
      </c>
      <c r="B9" s="138" t="s">
        <v>99</v>
      </c>
      <c r="C9" s="139"/>
      <c r="D9" s="138" t="s">
        <v>100</v>
      </c>
      <c r="E9" s="139"/>
      <c r="F9" s="138" t="s">
        <v>101</v>
      </c>
      <c r="G9" s="139"/>
      <c r="H9" s="140" t="s">
        <v>102</v>
      </c>
    </row>
    <row r="10" ht="14.25" customHeight="1">
      <c r="A10" s="141">
        <v>1.0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1">'[1]BGCorWB100'!G9</f>
        <v>#REF!</v>
      </c>
    </row>
    <row r="11" ht="14.25" customHeight="1">
      <c r="A11" s="141">
        <v>2.0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1"/>
        <v>#REF!</v>
      </c>
    </row>
    <row r="12" ht="14.25" customHeight="1">
      <c r="A12" s="141">
        <v>3.0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1"/>
        <v>#REF!</v>
      </c>
    </row>
    <row r="13" ht="14.25" customHeight="1">
      <c r="A13" s="141">
        <v>4.0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1"/>
        <v>#REF!</v>
      </c>
    </row>
    <row r="14" ht="14.25" customHeight="1">
      <c r="A14" s="141">
        <v>5.0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1"/>
        <v>#REF!</v>
      </c>
    </row>
    <row r="15" ht="14.25" customHeight="1">
      <c r="A15" s="141">
        <v>6.0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1"/>
        <v>#REF!</v>
      </c>
    </row>
    <row r="16" ht="14.25" customHeight="1">
      <c r="A16" s="141">
        <v>7.0</v>
      </c>
      <c r="B16" s="138" t="s">
        <v>69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103</v>
      </c>
    </row>
    <row r="17" ht="14.25" customHeight="1">
      <c r="A17" s="141">
        <v>8.0</v>
      </c>
      <c r="B17" s="138"/>
      <c r="C17" s="139"/>
      <c r="D17" s="138"/>
      <c r="E17" s="139"/>
      <c r="F17" s="142"/>
      <c r="G17" s="139"/>
      <c r="H17" s="143"/>
    </row>
    <row r="18" ht="14.25" customHeight="1">
      <c r="A18" s="141">
        <v>9.0</v>
      </c>
      <c r="B18" s="138"/>
      <c r="C18" s="139"/>
      <c r="D18" s="138"/>
      <c r="E18" s="139"/>
      <c r="F18" s="142"/>
      <c r="G18" s="139"/>
      <c r="H18" s="143"/>
    </row>
    <row r="19" ht="14.25" customHeight="1">
      <c r="A19" s="146"/>
      <c r="B19" s="147"/>
      <c r="D19" s="147"/>
      <c r="F19" s="147"/>
      <c r="H19" s="148"/>
    </row>
    <row r="20" ht="14.25" customHeight="1">
      <c r="A20" s="149" t="s">
        <v>80</v>
      </c>
      <c r="B20" s="150"/>
      <c r="C20" s="150"/>
      <c r="D20" s="150"/>
      <c r="E20" s="150" t="s">
        <v>104</v>
      </c>
      <c r="F20" s="111"/>
      <c r="G20" s="135"/>
      <c r="H20" s="148"/>
    </row>
    <row r="21" ht="12.75" customHeight="1">
      <c r="A21" s="151"/>
      <c r="B21" s="135"/>
      <c r="C21" s="135"/>
      <c r="D21" s="135"/>
      <c r="E21" s="135"/>
      <c r="F21" s="135"/>
      <c r="G21" s="135"/>
      <c r="H21" s="127"/>
    </row>
    <row r="22" ht="14.25" customHeight="1">
      <c r="A22" s="149"/>
      <c r="B22" s="150"/>
      <c r="C22" s="135"/>
      <c r="D22" s="135"/>
      <c r="E22" s="135"/>
      <c r="F22" s="135"/>
      <c r="G22" s="135"/>
      <c r="H22" s="127"/>
    </row>
    <row r="23" ht="14.25" customHeight="1">
      <c r="A23" s="149" t="s">
        <v>105</v>
      </c>
      <c r="B23" s="150"/>
      <c r="C23" s="152" t="s">
        <v>106</v>
      </c>
      <c r="D23" s="135"/>
      <c r="E23" s="135" t="s">
        <v>105</v>
      </c>
      <c r="F23" s="152" t="s">
        <v>106</v>
      </c>
      <c r="G23" s="135"/>
      <c r="H23" s="127"/>
    </row>
    <row r="24" ht="15.0" customHeight="1">
      <c r="A24" s="153"/>
      <c r="B24" s="154"/>
      <c r="C24" s="154"/>
      <c r="D24" s="154"/>
      <c r="E24" s="154"/>
      <c r="F24" s="154"/>
      <c r="G24" s="154"/>
      <c r="H24" s="155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5">
    <mergeCell ref="A1:H1"/>
    <mergeCell ref="G4:H4"/>
    <mergeCell ref="B9:C9"/>
    <mergeCell ref="D9:E9"/>
    <mergeCell ref="F9:G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landscape"/>
  <drawing r:id="rId1"/>
</worksheet>
</file>