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CorWB100" sheetId="1" r:id="rId4"/>
    <sheet state="visible" name="Harga" sheetId="2" r:id="rId5"/>
    <sheet state="visible" name="Sheet1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">
      <text>
        <t xml:space="preserve">SIZIKI:
sinar kimia utama 7.700/kg + per Sept 2021
panca sakti 253.000/30 kg per sept 2021</t>
      </text>
    </comment>
    <comment authorId="0" ref="D21">
      <text>
        <t xml:space="preserve">SIZIKI:
harga beli 700.000/250 gram di tokopedia toko PERSADA - per Nov 2021- PIC silmi</t>
      </text>
    </comment>
    <comment authorId="0" ref="D33">
      <text>
        <t xml:space="preserve">SIZIKI:
harga beli 700.000/250 gram di tokopedia toko PERSADA - per Nov 2021- PIC silmi</t>
      </text>
    </comment>
    <comment authorId="0" ref="D45">
      <text>
        <t xml:space="preserve">SIZIKI:
harga beli 700.000/250 gram di tokopedia toko PERSADA - per Nov 2021- PIC silmi</t>
      </text>
    </comment>
  </commentList>
</comments>
</file>

<file path=xl/sharedStrings.xml><?xml version="1.0" encoding="utf-8"?>
<sst xmlns="http://schemas.openxmlformats.org/spreadsheetml/2006/main" count="185" uniqueCount="138">
  <si>
    <t>Tanggal produksi</t>
  </si>
  <si>
    <t>Nama Produk</t>
  </si>
  <si>
    <t>SHOE UNYELLOWING - 13</t>
  </si>
  <si>
    <t>Batch No.</t>
  </si>
  <si>
    <t>BLENDING GUIDE &amp; SPKP</t>
  </si>
  <si>
    <t>No Resep</t>
  </si>
  <si>
    <t>Tank No.</t>
  </si>
  <si>
    <t>Keterangan</t>
  </si>
  <si>
    <t>Formulator : Silmi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</si>
  <si>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</si>
  <si>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</si>
  <si>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</si>
  <si>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</si>
  <si>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</si>
  <si>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</si>
  <si>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</si>
  <si>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</si>
  <si>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</si>
  <si>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</si>
  <si>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</si>
  <si>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</si>
  <si>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</si>
  <si>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</si>
  <si>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</si>
  <si>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</si>
  <si>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</si>
  <si>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</si>
  <si>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</si>
  <si>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PH 042</t>
  </si>
  <si>
    <t>NX 127</t>
  </si>
  <si>
    <t>AF 132</t>
  </si>
  <si>
    <t>CL 120</t>
  </si>
  <si>
    <t>SAPP</t>
  </si>
  <si>
    <t>ED 019</t>
  </si>
  <si>
    <t>Hydrogen Peroxide 50%</t>
  </si>
  <si>
    <t>Pelindung diri</t>
  </si>
  <si>
    <t>Pail @20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</si>
  <si>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</si>
  <si>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</si>
  <si>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</si>
  <si>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</si>
  <si>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</si>
  <si>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</si>
  <si>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</si>
  <si>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</si>
  <si>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</si>
  <si>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</si>
  <si>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</si>
  <si>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</si>
  <si>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</si>
  <si>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PH 042 sesuai komposisi, lalu aduk sampai merata/homogen</t>
  </si>
  <si>
    <t>Masukkan NX 127 sesuai komposisi, lalu aduk sampai larut sempurna (warna putih merata)</t>
  </si>
  <si>
    <t>Masukkan AF 132 sesuai komposisi, lalu aduk sampai larut sempurna (tidak ada gelembung)</t>
  </si>
  <si>
    <t>Masukkan CL 120 sesuai komposisi BG, lalu mixing sampai merata/homogen</t>
  </si>
  <si>
    <r>
      <rPr>
        <rFont val="Times New Roman"/>
        <color theme="1"/>
        <sz val="11.0"/>
      </rPr>
      <t xml:space="preserve">Masukkan </t>
    </r>
    <r>
      <rPr>
        <rFont val="Times New Roman"/>
        <color rgb="FFFF0000"/>
        <sz val="11.0"/>
      </rPr>
      <t>SAPP</t>
    </r>
    <r>
      <rPr>
        <rFont val="Times New Roman"/>
        <color theme="1"/>
        <sz val="11.0"/>
      </rPr>
      <t xml:space="preserve"> sesuai komposisi BG, lalu aduk hingga mengental dan merata</t>
    </r>
  </si>
  <si>
    <t>Setelah campuran mengental, masukkan ED 019 sesuai komposisi hingga larut sempurna</t>
  </si>
  <si>
    <t>Masukkan Hydrogen Peroxide 50% sesuai komposisi, lalu aduk hingga homogen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</si>
  <si>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</si>
  <si>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</si>
  <si>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</si>
  <si>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</si>
  <si>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</si>
  <si>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</si>
  <si>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</si>
  <si>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</si>
  <si>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</si>
  <si>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</si>
  <si>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</si>
  <si>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5 - 7</t>
  </si>
  <si>
    <t>Warna</t>
  </si>
  <si>
    <t>putih</t>
  </si>
  <si>
    <t>Kekentalan</t>
  </si>
  <si>
    <t>10.000 cp min.</t>
  </si>
  <si>
    <t>Uji peroxide strip</t>
  </si>
  <si>
    <t>Biru</t>
  </si>
  <si>
    <t>Kemasan</t>
  </si>
  <si>
    <t>Pail @20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</si>
  <si>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</si>
  <si>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</si>
  <si>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</si>
  <si>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</si>
  <si>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</si>
  <si>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</si>
  <si>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</si>
  <si>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</si>
  <si>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</si>
  <si>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</si>
  <si>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</si>
  <si>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</si>
  <si>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</si>
  <si>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Product Name</t>
  </si>
  <si>
    <t>Shoe Unyellowing</t>
  </si>
  <si>
    <t>BG no</t>
  </si>
  <si>
    <t>Komposisi (%b/b)</t>
  </si>
  <si>
    <t>Harga (rp)</t>
  </si>
  <si>
    <t>Price x formula (rp)</t>
  </si>
  <si>
    <t>Hydrogen Peroxide 50 % ex korea</t>
  </si>
  <si>
    <t>TAED</t>
  </si>
  <si>
    <t>Rupiah/kg</t>
  </si>
  <si>
    <t>tenaga kerja</t>
  </si>
  <si>
    <t>VERSI 2</t>
  </si>
  <si>
    <t>per 100 ml</t>
  </si>
  <si>
    <t>kemasan agro 100 ml</t>
  </si>
  <si>
    <t>TAED 5 gram</t>
  </si>
  <si>
    <t>@2800</t>
  </si>
  <si>
    <t xml:space="preserve">Plastik klip </t>
  </si>
  <si>
    <t>+</t>
  </si>
  <si>
    <t>total hpp</t>
  </si>
  <si>
    <t>margin 55%</t>
  </si>
  <si>
    <t xml:space="preserve">Penawaran </t>
  </si>
  <si>
    <t xml:space="preserve">per set 100 ml </t>
  </si>
  <si>
    <t>VERSI 3</t>
  </si>
  <si>
    <t>TAED 1 gram</t>
  </si>
  <si>
    <t>margin 100%</t>
  </si>
  <si>
    <t>margin 175%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</si>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</sst>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0.0_ "/>
    <numFmt numFmtId="166" formatCode="0.000_ "/>
    <numFmt numFmtId="167" formatCode="#,##0.000"/>
  </numFmts>
  <fonts count="27">
    <font>
      <sz val="11.0"/>
      <color rgb="FF000000"/>
      <name val="MS PGothic"/>
      <scheme val="minor"/>
    </font>
    <font>
      <sz val="11.0"/>
      <color theme="1"/>
      <name val="MS PGothic"/>
    </font>
    <font>
      <b/>
      <sz val="14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/>
    <font>
      <b/>
      <sz val="11.0"/>
      <color theme="1"/>
      <name val="MS PGothic"/>
    </font>
    <font>
      <b/>
      <sz val="12.0"/>
      <color rgb="FFFF0000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trike/>
      <sz val="11.0"/>
      <color theme="1"/>
      <name val="Times New Roman"/>
    </font>
    <font>
      <sz val="11.0"/>
      <color rgb="FFFF0000"/>
      <name val="Times New Roman"/>
    </font>
    <font>
      <strike/>
      <u/>
      <sz val="11.0"/>
      <color rgb="FFFF0000"/>
      <name val="Times New Roman"/>
    </font>
    <font>
      <sz val="11.0"/>
      <color theme="0"/>
      <name val="Times New Roman"/>
    </font>
    <font>
      <sz val="11.0"/>
      <color theme="0"/>
      <name val="MS PGothic"/>
    </font>
    <font>
      <strike/>
      <u/>
      <sz val="11.0"/>
      <color rgb="FFFF0000"/>
      <name val="Times New Roman"/>
    </font>
    <font>
      <strike/>
      <u/>
      <sz val="11.0"/>
      <color rgb="FFFF0000"/>
      <name val="Times New Roman"/>
    </font>
    <font>
      <strike/>
      <u/>
      <sz val="11.0"/>
      <color theme="1"/>
      <name val="Times New Roman"/>
    </font>
    <font>
      <color theme="1"/>
      <name val="MS PGothic"/>
      <scheme val="minor"/>
    </font>
    <font>
      <b/>
      <sz val="14.0"/>
      <color theme="1"/>
      <name val="MS PGothic"/>
    </font>
    <font>
      <b/>
      <sz val="16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MS PGothic"/>
    </font>
    <font>
      <b/>
      <sz val="10.0"/>
      <color rgb="FFFF0000"/>
      <name val="MS PGothic"/>
    </font>
    <font>
      <b/>
      <sz val="10.0"/>
      <color rgb="FF000000"/>
      <name val="Calibri"/>
    </font>
    <font>
      <b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5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6" numFmtId="15" xfId="0" applyAlignment="1" applyBorder="1" applyFont="1" applyNumberFormat="1">
      <alignment horizontal="center" shrinkToFit="0" vertical="center" wrapText="0"/>
    </xf>
    <xf borderId="9" fillId="0" fontId="4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5" fillId="0" fontId="8" numFmtId="0" xfId="0" applyAlignment="1" applyBorder="1" applyFont="1">
      <alignment horizontal="center" shrinkToFit="0" vertical="center" wrapText="0"/>
    </xf>
    <xf borderId="16" fillId="0" fontId="5" numFmtId="0" xfId="0" applyAlignment="1" applyBorder="1" applyFont="1">
      <alignment vertical="center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20" fillId="0" fontId="5" numFmtId="0" xfId="0" applyAlignment="1" applyBorder="1" applyFont="1">
      <alignment vertical="center"/>
    </xf>
    <xf borderId="21" fillId="0" fontId="4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1" fillId="0" fontId="9" numFmtId="0" xfId="0" applyAlignment="1" applyBorder="1" applyFont="1">
      <alignment horizontal="left" shrinkToFit="0" vertical="center" wrapText="0"/>
    </xf>
    <xf borderId="22" fillId="0" fontId="8" numFmtId="0" xfId="0" applyAlignment="1" applyBorder="1" applyFont="1">
      <alignment shrinkToFit="0" vertical="center" wrapText="0"/>
    </xf>
    <xf borderId="23" fillId="0" fontId="5" numFmtId="0" xfId="0" applyAlignment="1" applyBorder="1" applyFont="1">
      <alignment vertical="center"/>
    </xf>
    <xf borderId="24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26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27" fillId="0" fontId="1" numFmtId="0" xfId="0" applyAlignment="1" applyBorder="1" applyFont="1">
      <alignment shrinkToFit="0" vertical="center" wrapText="0"/>
    </xf>
    <xf borderId="28" fillId="2" fontId="4" numFmtId="0" xfId="0" applyAlignment="1" applyBorder="1" applyFill="1" applyFont="1">
      <alignment horizontal="right" shrinkToFit="0" vertical="center" wrapText="0"/>
    </xf>
    <xf borderId="29" fillId="2" fontId="4" numFmtId="0" xfId="0" applyAlignment="1" applyBorder="1" applyFont="1">
      <alignment shrinkToFit="0" vertical="center" wrapText="0"/>
    </xf>
    <xf borderId="30" fillId="2" fontId="4" numFmtId="0" xfId="0" applyAlignment="1" applyBorder="1" applyFont="1">
      <alignment shrinkToFit="0" vertical="center" wrapText="0"/>
    </xf>
    <xf borderId="31" fillId="2" fontId="10" numFmtId="0" xfId="0" applyAlignment="1" applyBorder="1" applyFont="1">
      <alignment shrinkToFit="0" vertical="center" wrapText="0"/>
    </xf>
    <xf borderId="32" fillId="2" fontId="4" numFmtId="0" xfId="0" applyAlignment="1" applyBorder="1" applyFon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33" fillId="2" fontId="1" numFmtId="0" xfId="0" applyAlignment="1" applyBorder="1" applyFont="1">
      <alignment shrinkToFit="0" vertical="center" wrapText="0"/>
    </xf>
    <xf borderId="34" fillId="0" fontId="4" numFmtId="0" xfId="0" applyAlignment="1" applyBorder="1" applyFont="1">
      <alignment horizontal="center" shrinkToFit="0" vertical="center" wrapText="0"/>
    </xf>
    <xf borderId="35" fillId="0" fontId="4" numFmtId="0" xfId="0" applyAlignment="1" applyBorder="1" applyFont="1">
      <alignment shrinkToFit="0" vertical="center" wrapText="0"/>
    </xf>
    <xf borderId="36" fillId="0" fontId="11" numFmtId="0" xfId="0" applyAlignment="1" applyBorder="1" applyFont="1">
      <alignment shrinkToFit="0" vertical="center" wrapText="0"/>
    </xf>
    <xf borderId="17" fillId="0" fontId="12" numFmtId="2" xfId="0" applyAlignment="1" applyBorder="1" applyFont="1" applyNumberFormat="1">
      <alignment shrinkToFit="0" vertical="center" wrapText="0"/>
    </xf>
    <xf borderId="35" fillId="0" fontId="3" numFmtId="165" xfId="0" applyAlignment="1" applyBorder="1" applyFont="1" applyNumberFormat="1">
      <alignment shrinkToFit="0" vertical="center" wrapText="0"/>
    </xf>
    <xf borderId="34" fillId="0" fontId="13" numFmtId="0" xfId="0" applyAlignment="1" applyBorder="1" applyFont="1">
      <alignment shrinkToFit="0" vertical="center" wrapText="0"/>
    </xf>
    <xf borderId="10" fillId="0" fontId="14" numFmtId="38" xfId="0" applyAlignment="1" applyBorder="1" applyFont="1" applyNumberFormat="1">
      <alignment shrinkToFit="0" vertical="center" wrapText="0"/>
    </xf>
    <xf borderId="37" fillId="0" fontId="14" numFmtId="0" xfId="0" applyAlignment="1" applyBorder="1" applyFont="1">
      <alignment shrinkToFit="0" vertical="center" wrapText="0"/>
    </xf>
    <xf borderId="38" fillId="0" fontId="4" numFmtId="0" xfId="0" applyAlignment="1" applyBorder="1" applyFont="1">
      <alignment shrinkToFit="0" vertical="center" wrapText="0"/>
    </xf>
    <xf borderId="15" fillId="0" fontId="15" numFmtId="2" xfId="0" applyAlignment="1" applyBorder="1" applyFont="1" applyNumberFormat="1">
      <alignment shrinkToFit="0" vertical="center" wrapText="0"/>
    </xf>
    <xf borderId="35" fillId="3" fontId="4" numFmtId="0" xfId="0" applyAlignment="1" applyBorder="1" applyFill="1" applyFont="1">
      <alignment shrinkToFit="0" vertical="center" wrapText="0"/>
    </xf>
    <xf borderId="39" fillId="0" fontId="4" numFmtId="0" xfId="0" applyAlignment="1" applyBorder="1" applyFont="1">
      <alignment shrinkToFit="0" vertical="center" wrapText="0"/>
    </xf>
    <xf borderId="16" fillId="0" fontId="11" numFmtId="0" xfId="0" applyAlignment="1" applyBorder="1" applyFon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40" fillId="0" fontId="13" numFmtId="0" xfId="0" applyAlignment="1" applyBorder="1" applyFont="1">
      <alignment shrinkToFit="0" vertical="center" wrapText="0"/>
    </xf>
    <xf borderId="40" fillId="0" fontId="4" numFmtId="0" xfId="0" applyAlignment="1" applyBorder="1" applyFont="1">
      <alignment horizontal="center" shrinkToFit="0" vertical="center" wrapText="0"/>
    </xf>
    <xf borderId="41" fillId="0" fontId="14" numFmtId="38" xfId="0" applyAlignment="1" applyBorder="1" applyFont="1" applyNumberFormat="1">
      <alignment shrinkToFit="0" vertical="center" wrapText="0"/>
    </xf>
    <xf borderId="42" fillId="0" fontId="14" numFmtId="0" xfId="0" applyAlignment="1" applyBorder="1" applyFont="1">
      <alignment shrinkToFit="0" vertical="center" wrapText="0"/>
    </xf>
    <xf borderId="19" fillId="0" fontId="4" numFmtId="0" xfId="0" applyAlignment="1" applyBorder="1" applyFont="1">
      <alignment horizontal="center" shrinkToFit="0" vertical="center" wrapText="0"/>
    </xf>
    <xf borderId="43" fillId="0" fontId="1" numFmtId="0" xfId="0" applyAlignment="1" applyBorder="1" applyFont="1">
      <alignment shrinkToFit="0" vertical="center" wrapText="0"/>
    </xf>
    <xf borderId="20" fillId="0" fontId="11" numFmtId="0" xfId="0" applyAlignment="1" applyBorder="1" applyFont="1">
      <alignment shrinkToFit="0" vertical="center" wrapText="0"/>
    </xf>
    <xf borderId="24" fillId="0" fontId="16" numFmtId="2" xfId="0" applyAlignment="1" applyBorder="1" applyFont="1" applyNumberFormat="1">
      <alignment shrinkToFit="0" vertical="center" wrapText="0"/>
    </xf>
    <xf borderId="44" fillId="0" fontId="3" numFmtId="166" xfId="0" applyAlignment="1" applyBorder="1" applyFont="1" applyNumberFormat="1">
      <alignment shrinkToFit="0" vertical="center" wrapText="0"/>
    </xf>
    <xf borderId="19" fillId="0" fontId="13" numFmtId="0" xfId="0" applyAlignment="1" applyBorder="1" applyFont="1">
      <alignment shrinkToFit="0" vertical="center" wrapText="0"/>
    </xf>
    <xf borderId="45" fillId="0" fontId="14" numFmtId="38" xfId="0" applyAlignment="1" applyBorder="1" applyFont="1" applyNumberFormat="1">
      <alignment shrinkToFit="0" vertical="center" wrapText="0"/>
    </xf>
    <xf borderId="46" fillId="0" fontId="14" numFmtId="0" xfId="0" applyAlignment="1" applyBorder="1" applyFont="1">
      <alignment shrinkToFit="0" vertical="center" wrapText="0"/>
    </xf>
    <xf borderId="26" fillId="0" fontId="4" numFmtId="0" xfId="0" applyAlignment="1" applyBorder="1" applyFont="1">
      <alignment shrinkToFit="0" vertical="center" wrapText="0"/>
    </xf>
    <xf borderId="9" fillId="0" fontId="17" numFmtId="2" xfId="0" applyAlignment="1" applyBorder="1" applyFont="1" applyNumberFormat="1">
      <alignment shrinkToFit="0" vertical="center" wrapText="0"/>
    </xf>
    <xf borderId="38" fillId="0" fontId="8" numFmtId="165" xfId="0" applyAlignment="1" applyBorder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4" numFmtId="38" xfId="0" applyAlignment="1" applyFont="1" applyNumberFormat="1">
      <alignment shrinkToFit="0" vertical="center" wrapText="0"/>
    </xf>
    <xf borderId="27" fillId="0" fontId="14" numFmtId="38" xfId="0" applyAlignment="1" applyBorder="1" applyFont="1" applyNumberFormat="1">
      <alignment shrinkToFit="0" vertical="center" wrapText="0"/>
    </xf>
    <xf borderId="47" fillId="0" fontId="8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8" fillId="0" fontId="4" numFmtId="0" xfId="0" applyAlignment="1" applyBorder="1" applyFont="1">
      <alignment shrinkToFit="0" vertical="center" wrapText="0"/>
    </xf>
    <xf borderId="6" fillId="0" fontId="3" numFmtId="165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26" fillId="0" fontId="4" numFmtId="0" xfId="0" applyAlignment="1" applyBorder="1" applyFont="1">
      <alignment shrinkToFit="0" vertical="top" wrapText="0"/>
    </xf>
    <xf borderId="0" fillId="0" fontId="4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shrinkToFit="0" vertical="center" wrapText="0"/>
    </xf>
    <xf borderId="49" fillId="0" fontId="1" numFmtId="0" xfId="0" applyAlignment="1" applyBorder="1" applyFont="1">
      <alignment shrinkToFit="0" vertical="center" wrapText="0"/>
    </xf>
    <xf borderId="32" fillId="0" fontId="4" numFmtId="0" xfId="0" applyAlignment="1" applyBorder="1" applyFont="1">
      <alignment shrinkToFit="0" vertical="center" wrapText="0"/>
    </xf>
    <xf borderId="50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10" fillId="0" fontId="4" numFmtId="49" xfId="0" applyAlignment="1" applyBorder="1" applyFont="1" applyNumberFormat="1">
      <alignment shrinkToFit="0" vertical="center" wrapText="0"/>
    </xf>
    <xf borderId="51" fillId="0" fontId="4" numFmtId="0" xfId="0" applyAlignment="1" applyBorder="1" applyFont="1">
      <alignment shrinkToFit="0" vertical="center" wrapText="0"/>
    </xf>
    <xf borderId="52" fillId="0" fontId="4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shrinkToFit="0" vertical="center" wrapText="0"/>
    </xf>
    <xf borderId="41" fillId="0" fontId="4" numFmtId="0" xfId="0" applyAlignment="1" applyBorder="1" applyFont="1">
      <alignment shrinkToFit="0" vertical="center" wrapText="0"/>
    </xf>
    <xf borderId="10" fillId="0" fontId="4" numFmtId="16" xfId="0" applyAlignment="1" applyBorder="1" applyFont="1" applyNumberFormat="1">
      <alignment shrinkToFit="0" vertical="center" wrapText="0"/>
    </xf>
    <xf borderId="53" fillId="0" fontId="4" numFmtId="0" xfId="0" applyAlignment="1" applyBorder="1" applyFont="1">
      <alignment shrinkToFit="0" vertical="center" wrapText="0"/>
    </xf>
    <xf borderId="42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54" fillId="0" fontId="4" numFmtId="0" xfId="0" applyAlignment="1" applyBorder="1" applyFont="1">
      <alignment shrinkToFit="0" vertical="center" wrapText="0"/>
    </xf>
    <xf borderId="45" fillId="0" fontId="4" numFmtId="0" xfId="0" applyAlignment="1" applyBorder="1" applyFont="1">
      <alignment shrinkToFit="0" vertical="center" wrapText="0"/>
    </xf>
    <xf borderId="55" fillId="0" fontId="4" numFmtId="0" xfId="0" applyAlignment="1" applyBorder="1" applyFont="1">
      <alignment shrinkToFit="0" vertical="center" wrapText="0"/>
    </xf>
    <xf borderId="46" fillId="0" fontId="1" numFmtId="0" xfId="0" applyAlignment="1" applyBorder="1" applyFont="1">
      <alignment shrinkToFit="0" vertical="center" wrapText="0"/>
    </xf>
    <xf borderId="0" fillId="0" fontId="18" numFmtId="0" xfId="0" applyAlignment="1" applyFont="1">
      <alignment vertical="center"/>
    </xf>
    <xf borderId="26" fillId="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54" fillId="0" fontId="1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32" fillId="0" fontId="1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shrinkToFit="0" vertical="center" wrapText="0"/>
    </xf>
    <xf borderId="33" fillId="0" fontId="1" numFmtId="0" xfId="0" applyAlignment="1" applyBorder="1" applyFont="1">
      <alignment shrinkToFit="0" vertical="center" wrapText="0"/>
    </xf>
    <xf borderId="51" fillId="0" fontId="1" numFmtId="0" xfId="0" applyAlignment="1" applyBorder="1" applyFont="1">
      <alignment shrinkToFit="0" vertical="center" wrapText="0"/>
    </xf>
    <xf borderId="10" fillId="0" fontId="1" numFmtId="38" xfId="0" applyAlignment="1" applyBorder="1" applyFont="1" applyNumberFormat="1">
      <alignment shrinkToFit="0" vertical="center" wrapText="0"/>
    </xf>
    <xf borderId="37" fillId="0" fontId="1" numFmtId="38" xfId="0" applyAlignment="1" applyBorder="1" applyFont="1" applyNumberFormat="1">
      <alignment shrinkToFit="0" vertical="center" wrapText="0"/>
    </xf>
    <xf borderId="53" fillId="0" fontId="1" numFmtId="0" xfId="0" applyAlignment="1" applyBorder="1" applyFont="1">
      <alignment shrinkToFit="0" vertical="center" wrapText="0"/>
    </xf>
    <xf borderId="41" fillId="0" fontId="1" numFmtId="0" xfId="0" applyAlignment="1" applyBorder="1" applyFont="1">
      <alignment shrinkToFit="0" vertical="center" wrapText="0"/>
    </xf>
    <xf borderId="41" fillId="0" fontId="1" numFmtId="38" xfId="0" applyAlignment="1" applyBorder="1" applyFont="1" applyNumberFormat="1">
      <alignment shrinkToFit="0" vertical="center" wrapText="0"/>
    </xf>
    <xf borderId="42" fillId="0" fontId="1" numFmtId="38" xfId="0" applyAlignment="1" applyBorder="1" applyFont="1" applyNumberFormat="1">
      <alignment shrinkToFit="0" vertical="center" wrapText="0"/>
    </xf>
    <xf borderId="55" fillId="0" fontId="1" numFmtId="0" xfId="0" applyAlignment="1" applyBorder="1" applyFont="1">
      <alignment shrinkToFit="0" vertical="center" wrapText="0"/>
    </xf>
    <xf borderId="45" fillId="0" fontId="1" numFmtId="0" xfId="0" applyAlignment="1" applyBorder="1" applyFont="1">
      <alignment shrinkToFit="0" vertical="center" wrapText="0"/>
    </xf>
    <xf borderId="10" fillId="0" fontId="6" numFmtId="38" xfId="0" applyAlignment="1" applyBorder="1" applyFont="1" applyNumberFormat="1">
      <alignment shrinkToFit="0" vertical="center" wrapText="0"/>
    </xf>
    <xf borderId="0" fillId="0" fontId="1" numFmtId="38" xfId="0" applyAlignment="1" applyFont="1" applyNumberFormat="1">
      <alignment shrinkToFit="0" vertical="center" wrapText="0"/>
    </xf>
    <xf borderId="10" fillId="4" fontId="19" numFmtId="38" xfId="0" applyAlignment="1" applyBorder="1" applyFill="1" applyFont="1" applyNumberFormat="1">
      <alignment shrinkToFit="0" vertical="center" wrapText="0"/>
    </xf>
    <xf borderId="56" fillId="0" fontId="1" numFmtId="0" xfId="0" applyAlignment="1" applyBorder="1" applyFont="1">
      <alignment shrinkToFit="0" vertical="center" wrapText="0"/>
    </xf>
    <xf borderId="0" fillId="0" fontId="1" numFmtId="15" xfId="0" applyAlignment="1" applyFont="1" applyNumberFormat="1">
      <alignment shrinkToFit="0" vertical="center" wrapText="0"/>
    </xf>
    <xf borderId="47" fillId="0" fontId="20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vertical="center"/>
    </xf>
    <xf borderId="26" fillId="0" fontId="20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27" fillId="0" fontId="20" numFmtId="0" xfId="0" applyAlignment="1" applyBorder="1" applyFont="1">
      <alignment horizontal="center" shrinkToFit="0" vertical="bottom" wrapText="0"/>
    </xf>
    <xf borderId="26" fillId="0" fontId="21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center" shrinkToFit="0" vertical="bottom" wrapText="0"/>
    </xf>
    <xf borderId="15" fillId="0" fontId="21" numFmtId="0" xfId="0" applyAlignment="1" applyBorder="1" applyFont="1">
      <alignment horizontal="left" shrinkToFit="0" vertical="bottom" wrapText="0"/>
    </xf>
    <xf borderId="57" fillId="0" fontId="21" numFmtId="0" xfId="0" applyAlignment="1" applyBorder="1" applyFont="1">
      <alignment horizontal="left" shrinkToFit="0" vertical="bottom" wrapText="0"/>
    </xf>
    <xf borderId="57" fillId="0" fontId="21" numFmtId="0" xfId="0" applyAlignment="1" applyBorder="1" applyFont="1">
      <alignment horizontal="center" shrinkToFit="0" vertical="bottom" wrapText="0"/>
    </xf>
    <xf borderId="58" fillId="0" fontId="21" numFmtId="0" xfId="0" applyAlignment="1" applyBorder="1" applyFont="1">
      <alignment horizontal="center" shrinkToFit="0" vertical="bottom" wrapText="0"/>
    </xf>
    <xf borderId="26" fillId="0" fontId="22" numFmtId="0" xfId="0" applyAlignment="1" applyBorder="1" applyFont="1">
      <alignment horizontal="left" shrinkToFit="0" vertical="bottom" wrapText="0"/>
    </xf>
    <xf borderId="0" fillId="0" fontId="21" numFmtId="0" xfId="0" applyAlignment="1" applyFont="1">
      <alignment horizontal="left" shrinkToFit="0" vertical="bottom" wrapText="0"/>
    </xf>
    <xf borderId="0" fillId="0" fontId="23" numFmtId="164" xfId="0" applyAlignment="1" applyFont="1" applyNumberFormat="1">
      <alignment horizontal="left" shrinkToFit="0" vertical="bottom" wrapText="0"/>
    </xf>
    <xf borderId="9" fillId="0" fontId="6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4" numFmtId="0" xfId="0" applyAlignment="1" applyFont="1">
      <alignment horizontal="center" shrinkToFit="0" vertical="bottom" wrapText="1"/>
    </xf>
    <xf borderId="27" fillId="0" fontId="5" numFmtId="0" xfId="0" applyAlignment="1" applyBorder="1" applyFont="1">
      <alignment vertical="center"/>
    </xf>
    <xf borderId="0" fillId="0" fontId="23" numFmtId="0" xfId="0" applyAlignment="1" applyFont="1">
      <alignment shrinkToFit="0" vertical="bottom" wrapText="1"/>
    </xf>
    <xf borderId="0" fillId="0" fontId="22" numFmtId="0" xfId="0" applyAlignment="1" applyFont="1">
      <alignment horizontal="left" shrinkToFit="0" vertical="bottom" wrapText="0"/>
    </xf>
    <xf borderId="0" fillId="0" fontId="23" numFmtId="0" xfId="0" applyAlignment="1" applyFont="1">
      <alignment horizontal="left" shrinkToFit="0" vertical="bottom" wrapText="0"/>
    </xf>
    <xf borderId="27" fillId="0" fontId="1" numFmtId="0" xfId="0" applyAlignment="1" applyBorder="1" applyFont="1">
      <alignment shrinkToFit="0" vertical="bottom" wrapText="0"/>
    </xf>
    <xf borderId="26" fillId="0" fontId="21" numFmtId="0" xfId="0" applyAlignment="1" applyBorder="1" applyFont="1">
      <alignment horizontal="left" shrinkToFit="0" vertical="bottom" wrapText="0"/>
    </xf>
    <xf borderId="9" fillId="0" fontId="22" numFmtId="0" xfId="0" applyAlignment="1" applyBorder="1" applyFont="1">
      <alignment horizontal="left" shrinkToFit="0" vertical="bottom" wrapText="0"/>
    </xf>
    <xf borderId="11" fillId="0" fontId="6" numFmtId="0" xfId="0" applyAlignment="1" applyBorder="1" applyFont="1">
      <alignment shrinkToFit="0" vertical="bottom" wrapText="0"/>
    </xf>
    <xf borderId="56" fillId="0" fontId="23" numFmtId="164" xfId="0" applyAlignment="1" applyBorder="1" applyFont="1" applyNumberFormat="1">
      <alignment shrinkToFit="0" vertical="bottom" wrapText="0"/>
    </xf>
    <xf borderId="56" fillId="0" fontId="22" numFmtId="0" xfId="0" applyAlignment="1" applyBorder="1" applyFont="1">
      <alignment horizontal="left" shrinkToFit="0" vertical="bottom" wrapText="0"/>
    </xf>
    <xf borderId="56" fillId="0" fontId="23" numFmtId="0" xfId="0" applyAlignment="1" applyBorder="1" applyFont="1">
      <alignment shrinkToFit="0" vertical="bottom" wrapText="0"/>
    </xf>
    <xf borderId="12" fillId="0" fontId="2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27" fillId="0" fontId="21" numFmtId="0" xfId="0" applyAlignment="1" applyBorder="1" applyFont="1">
      <alignment horizontal="center" shrinkToFit="0" vertical="bottom" wrapText="0"/>
    </xf>
    <xf borderId="51" fillId="0" fontId="25" numFmtId="0" xfId="0" applyAlignment="1" applyBorder="1" applyFont="1">
      <alignment horizontal="center" shrinkToFit="0" vertical="center" wrapText="1"/>
    </xf>
    <xf borderId="17" fillId="0" fontId="25" numFmtId="0" xfId="0" applyAlignment="1" applyBorder="1" applyFont="1">
      <alignment horizontal="center" shrinkToFit="0" vertical="center" wrapText="1"/>
    </xf>
    <xf borderId="36" fillId="0" fontId="5" numFmtId="0" xfId="0" applyAlignment="1" applyBorder="1" applyFont="1">
      <alignment vertical="center"/>
    </xf>
    <xf borderId="37" fillId="0" fontId="25" numFmtId="0" xfId="0" applyAlignment="1" applyBorder="1" applyFont="1">
      <alignment horizontal="center" shrinkToFit="0" vertical="center" wrapText="1"/>
    </xf>
    <xf borderId="51" fillId="0" fontId="21" numFmtId="0" xfId="0" applyAlignment="1" applyBorder="1" applyFont="1">
      <alignment horizontal="center" shrinkToFit="0" vertical="bottom" wrapText="1"/>
    </xf>
    <xf borderId="17" fillId="0" fontId="25" numFmtId="167" xfId="0" applyAlignment="1" applyBorder="1" applyFont="1" applyNumberFormat="1">
      <alignment horizontal="center" shrinkToFit="0" vertical="center" wrapText="1"/>
    </xf>
    <xf borderId="37" fillId="0" fontId="21" numFmtId="0" xfId="0" applyAlignment="1" applyBorder="1" applyFont="1">
      <alignment horizontal="center" shrinkToFit="0" vertical="bottom" wrapText="1"/>
    </xf>
    <xf borderId="17" fillId="0" fontId="26" numFmtId="0" xfId="0" applyAlignment="1" applyBorder="1" applyFont="1">
      <alignment horizontal="center" shrinkToFit="0" vertical="center" wrapText="1"/>
    </xf>
    <xf borderId="17" fillId="0" fontId="26" numFmtId="3" xfId="0" applyAlignment="1" applyBorder="1" applyFont="1" applyNumberFormat="1">
      <alignment horizontal="center" shrinkToFit="0" vertical="center" wrapText="1"/>
    </xf>
    <xf borderId="26" fillId="0" fontId="21" numFmtId="0" xfId="0" applyAlignment="1" applyBorder="1" applyFont="1">
      <alignment horizontal="center" shrinkToFit="0" vertical="bottom" wrapText="1"/>
    </xf>
    <xf borderId="0" fillId="0" fontId="25" numFmtId="0" xfId="0" applyAlignment="1" applyFont="1">
      <alignment horizontal="center" shrinkToFit="0" vertical="center" wrapText="1"/>
    </xf>
    <xf borderId="27" fillId="0" fontId="21" numFmtId="0" xfId="0" applyAlignment="1" applyBorder="1" applyFont="1">
      <alignment shrinkToFit="0" vertical="bottom" wrapText="0"/>
    </xf>
    <xf borderId="26" fillId="0" fontId="21" numFmtId="0" xfId="0" applyAlignment="1" applyBorder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2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54" fillId="0" fontId="21" numFmtId="0" xfId="0" applyAlignment="1" applyBorder="1" applyFont="1">
      <alignment shrinkToFit="0" vertical="bottom" wrapText="0"/>
    </xf>
    <xf borderId="21" fillId="0" fontId="21" numFmtId="0" xfId="0" applyAlignment="1" applyBorder="1" applyFont="1">
      <alignment shrinkToFit="0" vertical="bottom" wrapText="0"/>
    </xf>
    <xf borderId="49" fillId="0" fontId="2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56</xdr:row>
      <xdr:rowOff>9525</xdr:rowOff>
    </xdr:from>
    <xdr:ext cx="247650" cy="123825"/>
    <xdr:sp>
      <xdr:nvSpPr>
        <xdr:cNvPr id="3" name="Shape 3"/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19050</xdr:colOff>
      <xdr:row>57</xdr:row>
      <xdr:rowOff>9525</xdr:rowOff>
    </xdr:from>
    <xdr:ext cx="247650" cy="123825"/>
    <xdr:sp>
      <xdr:nvSpPr>
        <xdr:cNvPr id="3" name="Shape 3"/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247650</xdr:colOff>
      <xdr:row>2</xdr:row>
      <xdr:rowOff>142875</xdr:rowOff>
    </xdr:from>
    <xdr:ext cx="4572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63"/>
    <col customWidth="1" min="3" max="3" width="21.63"/>
    <col customWidth="1" min="4" max="4" width="10.38"/>
    <col customWidth="1" min="5" max="5" width="16.5"/>
    <col customWidth="1" min="6" max="6" width="20.75"/>
    <col customWidth="1" min="7" max="7" width="8.0"/>
    <col customWidth="1" min="8" max="8" width="12.13"/>
    <col customWidth="1" min="9" max="9" width="10.25"/>
    <col customWidth="1" min="10" max="10" width="15.5"/>
    <col customWidth="1" min="11" max="26" width="8.0"/>
  </cols>
  <sheetData>
    <row r="1" ht="12.75" customHeight="1"/>
    <row r="2" ht="13.5" customHeight="1"/>
    <row r="3" ht="44.25" customHeight="1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/>
      <c r="I3" s="7" t="s">
        <v>4</v>
      </c>
      <c r="J3" s="8"/>
    </row>
    <row r="4" ht="13.5" customHeight="1">
      <c r="B4" s="9"/>
      <c r="C4" s="10"/>
      <c r="D4" s="11" t="s">
        <v>5</v>
      </c>
      <c r="E4" s="12"/>
      <c r="F4" s="13">
        <v>13.0</v>
      </c>
      <c r="G4" s="14" t="s">
        <v>6</v>
      </c>
      <c r="H4" s="14">
        <v>1.0</v>
      </c>
      <c r="I4" s="15"/>
      <c r="J4" s="16"/>
    </row>
    <row r="5" ht="15.0" customHeight="1">
      <c r="B5" s="17"/>
      <c r="C5" s="18"/>
      <c r="D5" s="19" t="s">
        <v>7</v>
      </c>
      <c r="E5" s="12"/>
      <c r="F5" s="20" t="s">
        <v>8</v>
      </c>
      <c r="G5" s="21" t="s">
        <v>9</v>
      </c>
      <c r="H5" s="22"/>
      <c r="I5" s="23" t="s">
        <v>10</v>
      </c>
      <c r="J5" s="24" t="s">
        <v>11</v>
      </c>
    </row>
    <row r="6" ht="18.0" customHeight="1">
      <c r="B6" s="25" t="s">
        <v>12</v>
      </c>
      <c r="C6" s="26"/>
      <c r="D6" s="27" t="s">
        <v>13</v>
      </c>
      <c r="E6" s="28"/>
      <c r="F6" s="29">
        <v>100.0</v>
      </c>
      <c r="G6" s="30"/>
      <c r="H6" s="31"/>
      <c r="I6" s="32" t="s">
        <v>14</v>
      </c>
      <c r="J6" s="33" t="s">
        <v>15</v>
      </c>
    </row>
    <row r="7" ht="14.25" customHeight="1">
      <c r="B7" s="34" t="s">
        <v>16</v>
      </c>
      <c r="C7" s="35"/>
      <c r="D7" s="19" t="s">
        <v>17</v>
      </c>
      <c r="E7" s="19"/>
      <c r="F7" s="36">
        <v>45399.0</v>
      </c>
      <c r="G7" s="19"/>
      <c r="H7" s="19"/>
      <c r="I7" s="12"/>
      <c r="J7" s="37"/>
    </row>
    <row r="8" ht="13.5" customHeight="1">
      <c r="B8" s="38" t="s">
        <v>18</v>
      </c>
      <c r="C8" s="39" t="s">
        <v>19</v>
      </c>
      <c r="D8" s="40" t="s">
        <v>20</v>
      </c>
      <c r="E8" s="41" t="s">
        <v>21</v>
      </c>
      <c r="F8" s="39" t="s">
        <v>22</v>
      </c>
      <c r="G8" s="19"/>
      <c r="H8" s="42" t="s">
        <v>23</v>
      </c>
      <c r="I8" s="43" t="s">
        <v>24</v>
      </c>
      <c r="J8" s="44" t="s">
        <v>25</v>
      </c>
    </row>
    <row r="9" ht="15.0" customHeight="1">
      <c r="B9" s="45">
        <v>1.0</v>
      </c>
      <c r="C9" s="46" t="s">
        <v>26</v>
      </c>
      <c r="D9" s="47"/>
      <c r="E9" s="48">
        <f>100-SUM(E10:E16)</f>
        <v>76.1</v>
      </c>
      <c r="F9" s="49">
        <f t="shared" ref="F9:F16" si="1">(E9/100)*$F$6</f>
        <v>76.1</v>
      </c>
      <c r="G9" s="19" t="s">
        <v>27</v>
      </c>
      <c r="H9" s="50">
        <v>11000.0</v>
      </c>
      <c r="I9" s="51">
        <f>E9*H9</f>
        <v>837100</v>
      </c>
      <c r="J9" s="52"/>
    </row>
    <row r="10" ht="15.0" customHeight="1">
      <c r="B10" s="45">
        <v>2.0</v>
      </c>
      <c r="C10" s="53" t="s">
        <v>28</v>
      </c>
      <c r="D10" s="47"/>
      <c r="E10" s="54">
        <v>0.7</v>
      </c>
      <c r="F10" s="49">
        <f t="shared" si="1"/>
        <v>0.7</v>
      </c>
      <c r="G10" s="19" t="s">
        <v>27</v>
      </c>
      <c r="H10" s="50"/>
      <c r="I10" s="51">
        <f t="shared" ref="I10:I12" si="2">E13*H10</f>
        <v>0</v>
      </c>
      <c r="J10" s="52"/>
    </row>
    <row r="11" ht="15.0" customHeight="1">
      <c r="B11" s="45">
        <v>3.0</v>
      </c>
      <c r="C11" s="55" t="s">
        <v>29</v>
      </c>
      <c r="D11" s="47"/>
      <c r="E11" s="48">
        <v>5.0</v>
      </c>
      <c r="F11" s="49">
        <f t="shared" si="1"/>
        <v>5</v>
      </c>
      <c r="G11" s="19" t="s">
        <v>27</v>
      </c>
      <c r="H11" s="50"/>
      <c r="I11" s="51">
        <f t="shared" si="2"/>
        <v>0</v>
      </c>
      <c r="J11" s="52"/>
    </row>
    <row r="12" ht="15.0" customHeight="1">
      <c r="B12" s="45">
        <v>4.0</v>
      </c>
      <c r="C12" s="56" t="s">
        <v>30</v>
      </c>
      <c r="D12" s="57"/>
      <c r="E12" s="54">
        <v>0.4</v>
      </c>
      <c r="F12" s="49">
        <f t="shared" si="1"/>
        <v>0.4</v>
      </c>
      <c r="G12" s="19" t="s">
        <v>27</v>
      </c>
      <c r="H12" s="50"/>
      <c r="I12" s="51">
        <f t="shared" si="2"/>
        <v>0</v>
      </c>
      <c r="J12" s="52"/>
    </row>
    <row r="13" ht="15.0" customHeight="1">
      <c r="B13" s="45">
        <v>5.0</v>
      </c>
      <c r="C13" s="46" t="s">
        <v>31</v>
      </c>
      <c r="D13" s="47"/>
      <c r="E13" s="48">
        <v>2.3</v>
      </c>
      <c r="F13" s="49">
        <f t="shared" si="1"/>
        <v>2.3</v>
      </c>
      <c r="G13" s="19" t="s">
        <v>27</v>
      </c>
      <c r="H13" s="50"/>
      <c r="I13" s="51">
        <f>E11*H13</f>
        <v>0</v>
      </c>
      <c r="J13" s="52"/>
    </row>
    <row r="14" ht="15.0" customHeight="1">
      <c r="B14" s="45">
        <v>6.0</v>
      </c>
      <c r="C14" s="46" t="s">
        <v>32</v>
      </c>
      <c r="D14" s="47"/>
      <c r="E14" s="48">
        <v>3.0</v>
      </c>
      <c r="F14" s="49">
        <f t="shared" si="1"/>
        <v>3</v>
      </c>
      <c r="G14" s="58" t="s">
        <v>27</v>
      </c>
      <c r="H14" s="59"/>
      <c r="I14" s="51">
        <f>E10*H14</f>
        <v>0</v>
      </c>
      <c r="J14" s="52"/>
    </row>
    <row r="15" ht="15.0" customHeight="1">
      <c r="B15" s="60">
        <v>7.0</v>
      </c>
      <c r="C15" s="46" t="s">
        <v>33</v>
      </c>
      <c r="D15" s="47"/>
      <c r="E15" s="48">
        <v>0.5</v>
      </c>
      <c r="F15" s="49">
        <f t="shared" si="1"/>
        <v>0.5</v>
      </c>
      <c r="G15" s="58" t="s">
        <v>27</v>
      </c>
      <c r="H15" s="59"/>
      <c r="I15" s="51">
        <f>E12*H15</f>
        <v>0</v>
      </c>
      <c r="J15" s="52"/>
    </row>
    <row r="16" ht="15.0" customHeight="1">
      <c r="B16" s="60">
        <v>8.0</v>
      </c>
      <c r="C16" s="46" t="s">
        <v>34</v>
      </c>
      <c r="D16" s="57"/>
      <c r="E16" s="54">
        <v>12.0</v>
      </c>
      <c r="F16" s="49">
        <f t="shared" si="1"/>
        <v>12</v>
      </c>
      <c r="G16" s="58" t="s">
        <v>27</v>
      </c>
      <c r="H16" s="59"/>
      <c r="I16" s="61">
        <f t="shared" ref="I16:I17" si="3">E16*H16</f>
        <v>0</v>
      </c>
      <c r="J16" s="62"/>
    </row>
    <row r="17" ht="15.75" customHeight="1">
      <c r="B17" s="63">
        <v>9.0</v>
      </c>
      <c r="C17" s="64"/>
      <c r="D17" s="65"/>
      <c r="E17" s="66"/>
      <c r="F17" s="67"/>
      <c r="G17" s="19"/>
      <c r="H17" s="68"/>
      <c r="I17" s="69">
        <f t="shared" si="3"/>
        <v>0</v>
      </c>
      <c r="J17" s="70"/>
    </row>
    <row r="18" ht="14.25" customHeight="1">
      <c r="B18" s="71"/>
      <c r="C18" s="19"/>
      <c r="D18" s="19"/>
      <c r="E18" s="72">
        <f t="shared" ref="E18:F18" si="4">SUM(E9:E17)</f>
        <v>100</v>
      </c>
      <c r="F18" s="73">
        <f t="shared" si="4"/>
        <v>100</v>
      </c>
      <c r="G18" s="19" t="s">
        <v>27</v>
      </c>
      <c r="H18" s="74"/>
      <c r="I18" s="75">
        <f>SUM(I9:I17)</f>
        <v>837100</v>
      </c>
      <c r="J18" s="76">
        <f>I18/100</f>
        <v>8371</v>
      </c>
    </row>
    <row r="19" ht="15.0" customHeight="1">
      <c r="B19" s="77" t="s">
        <v>35</v>
      </c>
      <c r="C19" s="78"/>
      <c r="D19" s="78"/>
      <c r="E19" s="79" t="s">
        <v>36</v>
      </c>
      <c r="F19" s="80">
        <v>5.0</v>
      </c>
      <c r="G19" s="78" t="s">
        <v>37</v>
      </c>
      <c r="H19" s="78"/>
      <c r="I19" s="4"/>
      <c r="J19" s="81"/>
    </row>
    <row r="20" ht="15.0" customHeight="1">
      <c r="B20" s="71">
        <v>1.0</v>
      </c>
      <c r="C20" s="19" t="s">
        <v>38</v>
      </c>
      <c r="D20" s="19"/>
      <c r="E20" s="19"/>
      <c r="F20" s="82"/>
      <c r="G20" s="19"/>
      <c r="H20" s="19"/>
      <c r="I20" s="12"/>
      <c r="J20" s="37"/>
    </row>
    <row r="21" ht="13.5" customHeight="1">
      <c r="B21" s="71">
        <v>2.0</v>
      </c>
      <c r="C21" s="19" t="s">
        <v>39</v>
      </c>
      <c r="D21" s="19"/>
      <c r="E21" s="19"/>
      <c r="F21" s="19"/>
      <c r="G21" s="19"/>
      <c r="H21" s="19"/>
      <c r="I21" s="12"/>
      <c r="J21" s="37"/>
    </row>
    <row r="22" ht="13.5" customHeight="1">
      <c r="B22" s="71">
        <v>3.0</v>
      </c>
      <c r="C22" s="19" t="s">
        <v>40</v>
      </c>
      <c r="D22" s="19"/>
      <c r="E22" s="19"/>
      <c r="F22" s="19"/>
      <c r="G22" s="19"/>
      <c r="H22" s="19"/>
      <c r="I22" s="12"/>
      <c r="J22" s="37"/>
    </row>
    <row r="23" ht="13.5" customHeight="1">
      <c r="B23" s="71">
        <v>4.0</v>
      </c>
      <c r="C23" s="19" t="s">
        <v>41</v>
      </c>
      <c r="D23" s="19"/>
      <c r="E23" s="19"/>
      <c r="F23" s="19"/>
      <c r="G23" s="19"/>
      <c r="H23" s="19"/>
      <c r="I23" s="12"/>
      <c r="J23" s="37"/>
    </row>
    <row r="24" ht="13.5" customHeight="1">
      <c r="B24" s="34" t="s">
        <v>42</v>
      </c>
      <c r="C24" s="19"/>
      <c r="D24" s="19"/>
      <c r="E24" s="19"/>
      <c r="F24" s="19"/>
      <c r="G24" s="19"/>
      <c r="H24" s="19"/>
      <c r="I24" s="12"/>
      <c r="J24" s="37"/>
    </row>
    <row r="25" ht="13.5" customHeight="1">
      <c r="B25" s="71">
        <v>1.0</v>
      </c>
      <c r="C25" s="19" t="s">
        <v>43</v>
      </c>
      <c r="D25" s="19"/>
      <c r="E25" s="19"/>
      <c r="F25" s="19"/>
      <c r="G25" s="19"/>
      <c r="H25" s="19"/>
      <c r="I25" s="12"/>
      <c r="J25" s="37"/>
    </row>
    <row r="26" ht="27.0" customHeight="1">
      <c r="B26" s="83">
        <v>2.0</v>
      </c>
      <c r="C26" s="84" t="s">
        <v>44</v>
      </c>
      <c r="J26" s="37"/>
    </row>
    <row r="27" ht="13.5" customHeight="1">
      <c r="B27" s="71">
        <v>3.0</v>
      </c>
      <c r="C27" s="19" t="s">
        <v>45</v>
      </c>
      <c r="D27" s="19"/>
      <c r="E27" s="19"/>
      <c r="F27" s="19"/>
      <c r="G27" s="19"/>
      <c r="H27" s="19"/>
      <c r="I27" s="12"/>
      <c r="J27" s="37"/>
    </row>
    <row r="28" ht="13.5" customHeight="1">
      <c r="B28" s="71">
        <v>4.0</v>
      </c>
      <c r="C28" s="19" t="s">
        <v>46</v>
      </c>
      <c r="D28" s="19"/>
      <c r="E28" s="19"/>
      <c r="F28" s="19"/>
      <c r="G28" s="19"/>
      <c r="H28" s="19"/>
      <c r="I28" s="12"/>
      <c r="J28" s="37"/>
    </row>
    <row r="29" ht="13.5" customHeight="1">
      <c r="B29" s="71">
        <v>5.0</v>
      </c>
      <c r="C29" s="19" t="s">
        <v>47</v>
      </c>
      <c r="D29" s="19"/>
      <c r="E29" s="19"/>
      <c r="F29" s="19"/>
      <c r="G29" s="19"/>
      <c r="H29" s="19"/>
      <c r="I29" s="12"/>
      <c r="J29" s="37"/>
    </row>
    <row r="30" ht="13.5" customHeight="1">
      <c r="B30" s="34" t="s">
        <v>48</v>
      </c>
      <c r="C30" s="19"/>
      <c r="D30" s="19"/>
      <c r="E30" s="19"/>
      <c r="F30" s="19"/>
      <c r="G30" s="19"/>
      <c r="H30" s="19"/>
      <c r="I30" s="12"/>
      <c r="J30" s="37"/>
      <c r="O30" s="85">
        <v>44654.0</v>
      </c>
    </row>
    <row r="31" ht="13.5" customHeight="1">
      <c r="B31" s="71">
        <v>1.0</v>
      </c>
      <c r="C31" s="19" t="s">
        <v>49</v>
      </c>
      <c r="D31" s="19"/>
      <c r="E31" s="19"/>
      <c r="F31" s="19"/>
      <c r="G31" s="19"/>
      <c r="H31" s="19"/>
      <c r="I31" s="12"/>
      <c r="J31" s="37"/>
    </row>
    <row r="32" ht="13.5" customHeight="1">
      <c r="B32" s="71">
        <v>2.0</v>
      </c>
      <c r="C32" s="19" t="s">
        <v>50</v>
      </c>
      <c r="D32" s="19"/>
      <c r="E32" s="19"/>
      <c r="F32" s="19"/>
      <c r="G32" s="19"/>
      <c r="H32" s="19"/>
      <c r="I32" s="12"/>
      <c r="J32" s="37"/>
    </row>
    <row r="33" ht="13.5" customHeight="1">
      <c r="B33" s="71">
        <v>3.0</v>
      </c>
      <c r="C33" s="19" t="s">
        <v>51</v>
      </c>
      <c r="D33" s="19"/>
      <c r="E33" s="19"/>
      <c r="F33" s="19"/>
      <c r="G33" s="19"/>
      <c r="H33" s="19"/>
      <c r="I33" s="12"/>
      <c r="J33" s="37"/>
    </row>
    <row r="34" ht="13.5" customHeight="1">
      <c r="B34" s="71">
        <v>4.0</v>
      </c>
      <c r="C34" s="19" t="s">
        <v>52</v>
      </c>
      <c r="D34" s="19"/>
      <c r="E34" s="19"/>
      <c r="F34" s="19"/>
      <c r="G34" s="19"/>
      <c r="H34" s="19"/>
      <c r="I34" s="12"/>
      <c r="J34" s="37"/>
    </row>
    <row r="35" ht="13.5" customHeight="1">
      <c r="B35" s="71">
        <v>5.0</v>
      </c>
      <c r="C35" s="19" t="s">
        <v>53</v>
      </c>
      <c r="D35" s="19"/>
      <c r="E35" s="19"/>
      <c r="F35" s="19"/>
      <c r="G35" s="19"/>
      <c r="H35" s="19"/>
      <c r="I35" s="12"/>
      <c r="J35" s="37"/>
    </row>
    <row r="36" ht="13.5" customHeight="1">
      <c r="B36" s="71">
        <v>6.0</v>
      </c>
      <c r="C36" s="19" t="s">
        <v>54</v>
      </c>
      <c r="D36" s="19"/>
      <c r="E36" s="19"/>
      <c r="F36" s="19"/>
      <c r="G36" s="19"/>
      <c r="H36" s="19"/>
      <c r="I36" s="12"/>
      <c r="J36" s="37"/>
    </row>
    <row r="37" ht="13.5" customHeight="1">
      <c r="B37" s="71">
        <v>7.0</v>
      </c>
      <c r="C37" s="19" t="s">
        <v>55</v>
      </c>
      <c r="D37" s="19"/>
      <c r="E37" s="19"/>
      <c r="F37" s="19"/>
      <c r="G37" s="19"/>
      <c r="H37" s="19"/>
      <c r="I37" s="12"/>
      <c r="J37" s="37"/>
    </row>
    <row r="38" ht="13.5" customHeight="1">
      <c r="B38" s="71">
        <v>8.0</v>
      </c>
      <c r="C38" s="19" t="s">
        <v>56</v>
      </c>
      <c r="D38" s="19"/>
      <c r="E38" s="19"/>
      <c r="F38" s="19"/>
      <c r="G38" s="19"/>
      <c r="H38" s="19"/>
      <c r="I38" s="12"/>
      <c r="J38" s="37"/>
    </row>
    <row r="39" ht="13.5" customHeight="1">
      <c r="B39" s="71">
        <v>9.0</v>
      </c>
      <c r="C39" s="19" t="s">
        <v>57</v>
      </c>
      <c r="D39" s="19"/>
      <c r="E39" s="19"/>
      <c r="F39" s="19"/>
      <c r="G39" s="19"/>
      <c r="H39" s="19"/>
      <c r="I39" s="12"/>
      <c r="J39" s="37"/>
    </row>
    <row r="40" ht="13.5" customHeight="1">
      <c r="B40" s="71">
        <v>10.0</v>
      </c>
      <c r="C40" s="19" t="s">
        <v>58</v>
      </c>
      <c r="D40" s="19"/>
      <c r="E40" s="19"/>
      <c r="F40" s="19"/>
      <c r="G40" s="19"/>
      <c r="H40" s="19"/>
      <c r="I40" s="12"/>
      <c r="J40" s="37"/>
    </row>
    <row r="41" ht="14.25" customHeight="1">
      <c r="B41" s="71"/>
      <c r="C41" s="27"/>
      <c r="D41" s="27"/>
      <c r="E41" s="27"/>
      <c r="F41" s="27"/>
      <c r="G41" s="27"/>
      <c r="H41" s="27"/>
      <c r="I41" s="28"/>
      <c r="J41" s="86"/>
    </row>
    <row r="42" ht="14.25" customHeight="1">
      <c r="B42" s="77" t="s">
        <v>59</v>
      </c>
      <c r="C42" s="78" t="s">
        <v>60</v>
      </c>
      <c r="D42" s="78"/>
      <c r="E42" s="78" t="s">
        <v>61</v>
      </c>
      <c r="F42" s="78"/>
      <c r="G42" s="78" t="s">
        <v>62</v>
      </c>
      <c r="H42" s="78"/>
      <c r="I42" s="4"/>
      <c r="J42" s="81"/>
    </row>
    <row r="43" ht="13.5" customHeight="1">
      <c r="B43" s="34"/>
      <c r="C43" s="14" t="s">
        <v>63</v>
      </c>
      <c r="D43" s="14" t="s">
        <v>64</v>
      </c>
      <c r="E43" s="14" t="s">
        <v>65</v>
      </c>
      <c r="F43" s="19"/>
      <c r="G43" s="87" t="s">
        <v>18</v>
      </c>
      <c r="H43" s="88" t="s">
        <v>19</v>
      </c>
      <c r="I43" s="89" t="s">
        <v>66</v>
      </c>
      <c r="J43" s="37"/>
    </row>
    <row r="44" ht="13.5" customHeight="1">
      <c r="B44" s="71">
        <v>1.0</v>
      </c>
      <c r="C44" s="14" t="s">
        <v>67</v>
      </c>
      <c r="D44" s="90" t="s">
        <v>68</v>
      </c>
      <c r="E44" s="14"/>
      <c r="F44" s="19"/>
      <c r="G44" s="91">
        <v>1.0</v>
      </c>
      <c r="H44" s="92" t="str">
        <f>C16</f>
        <v>Hydrogen Peroxide 50%</v>
      </c>
      <c r="I44" s="93"/>
      <c r="J44" s="37"/>
    </row>
    <row r="45" ht="13.5" customHeight="1">
      <c r="B45" s="71">
        <v>2.0</v>
      </c>
      <c r="C45" s="94" t="s">
        <v>69</v>
      </c>
      <c r="D45" s="94" t="s">
        <v>70</v>
      </c>
      <c r="E45" s="95"/>
      <c r="F45" s="19"/>
      <c r="G45" s="91">
        <v>2.0</v>
      </c>
      <c r="H45" s="92" t="str">
        <f>C9</f>
        <v>Aquadest</v>
      </c>
      <c r="I45" s="93"/>
      <c r="J45" s="37"/>
    </row>
    <row r="46" ht="13.5" customHeight="1">
      <c r="B46" s="71">
        <v>3.0</v>
      </c>
      <c r="C46" s="14" t="s">
        <v>71</v>
      </c>
      <c r="D46" s="14" t="s">
        <v>72</v>
      </c>
      <c r="E46" s="14"/>
      <c r="F46" s="19"/>
      <c r="G46" s="91">
        <v>3.0</v>
      </c>
      <c r="H46" s="92" t="str">
        <f t="shared" ref="H46:H47" si="5">C11</f>
        <v>NX 127</v>
      </c>
      <c r="I46" s="93"/>
      <c r="J46" s="37"/>
    </row>
    <row r="47" ht="13.5" customHeight="1">
      <c r="B47" s="71">
        <v>4.0</v>
      </c>
      <c r="C47" s="14" t="s">
        <v>73</v>
      </c>
      <c r="D47" s="14" t="s">
        <v>74</v>
      </c>
      <c r="E47" s="14"/>
      <c r="F47" s="19"/>
      <c r="G47" s="96">
        <v>4.0</v>
      </c>
      <c r="H47" s="92" t="str">
        <f t="shared" si="5"/>
        <v>AF 132</v>
      </c>
      <c r="I47" s="97"/>
      <c r="J47" s="37"/>
    </row>
    <row r="48" ht="13.5" customHeight="1">
      <c r="B48" s="71">
        <v>5.0</v>
      </c>
      <c r="C48" s="98"/>
      <c r="D48" s="98"/>
      <c r="E48" s="94"/>
      <c r="F48" s="19"/>
      <c r="G48" s="91">
        <v>5.0</v>
      </c>
      <c r="H48" s="92" t="str">
        <f>C15</f>
        <v>ED 019</v>
      </c>
      <c r="I48" s="93"/>
      <c r="J48" s="37"/>
    </row>
    <row r="49" ht="14.25" customHeight="1">
      <c r="B49" s="99"/>
      <c r="C49" s="100"/>
      <c r="D49" s="100"/>
      <c r="E49" s="100"/>
      <c r="F49" s="27"/>
      <c r="G49" s="101">
        <v>6.0</v>
      </c>
      <c r="H49" s="92" t="str">
        <f>C14</f>
        <v>SAPP</v>
      </c>
      <c r="I49" s="102"/>
      <c r="J49" s="86"/>
      <c r="T49" s="103">
        <f>88.58/80</f>
        <v>1.10725</v>
      </c>
    </row>
    <row r="50" ht="13.5" customHeight="1">
      <c r="B50" s="34" t="s">
        <v>75</v>
      </c>
      <c r="C50" s="19"/>
      <c r="D50" s="19"/>
      <c r="E50" s="19"/>
      <c r="F50" s="19"/>
      <c r="G50" s="19"/>
      <c r="H50" s="19"/>
      <c r="I50" s="12"/>
      <c r="J50" s="37"/>
    </row>
    <row r="51" ht="13.5" customHeight="1">
      <c r="B51" s="71">
        <v>1.0</v>
      </c>
      <c r="C51" s="19" t="s">
        <v>76</v>
      </c>
      <c r="D51" s="19"/>
      <c r="E51" s="19"/>
      <c r="F51" s="19"/>
      <c r="G51" s="19"/>
      <c r="H51" s="19"/>
      <c r="I51" s="12"/>
      <c r="J51" s="37"/>
    </row>
    <row r="52" ht="13.5" customHeight="1">
      <c r="B52" s="71"/>
      <c r="C52" s="19"/>
      <c r="D52" s="19"/>
      <c r="E52" s="19"/>
      <c r="F52" s="19"/>
      <c r="G52" s="19"/>
      <c r="H52" s="19"/>
      <c r="I52" s="12"/>
      <c r="J52" s="37"/>
    </row>
    <row r="53" ht="13.5" customHeight="1">
      <c r="B53" s="34" t="s">
        <v>77</v>
      </c>
      <c r="C53" s="12"/>
      <c r="D53" s="12"/>
      <c r="E53" s="12"/>
      <c r="F53" s="12"/>
      <c r="G53" s="12"/>
      <c r="H53" s="12"/>
      <c r="I53" s="12"/>
      <c r="J53" s="37"/>
    </row>
    <row r="54" ht="14.25" customHeight="1">
      <c r="B54" s="99">
        <v>1.0</v>
      </c>
      <c r="C54" s="27" t="s">
        <v>78</v>
      </c>
      <c r="D54" s="28"/>
      <c r="E54" s="28"/>
      <c r="F54" s="28"/>
      <c r="G54" s="28"/>
      <c r="H54" s="28"/>
      <c r="I54" s="28"/>
      <c r="J54" s="86"/>
    </row>
    <row r="55" ht="13.5" customHeight="1">
      <c r="B55" s="77" t="s">
        <v>79</v>
      </c>
      <c r="C55" s="78"/>
      <c r="D55" s="4"/>
      <c r="E55" s="81"/>
      <c r="F55" s="77" t="s">
        <v>80</v>
      </c>
      <c r="G55" s="78"/>
      <c r="H55" s="4"/>
      <c r="I55" s="4"/>
      <c r="J55" s="81"/>
    </row>
    <row r="56" ht="12.75" customHeight="1">
      <c r="B56" s="104"/>
      <c r="C56" s="12"/>
      <c r="D56" s="12"/>
      <c r="E56" s="37"/>
      <c r="F56" s="12"/>
      <c r="G56" s="12"/>
      <c r="H56" s="12"/>
      <c r="I56" s="12"/>
      <c r="J56" s="37"/>
    </row>
    <row r="57" ht="13.5" customHeight="1">
      <c r="B57" s="104"/>
      <c r="C57" s="19"/>
      <c r="D57" s="12"/>
      <c r="E57" s="37"/>
      <c r="F57" s="12"/>
      <c r="G57" s="19" t="s">
        <v>81</v>
      </c>
      <c r="H57" s="12"/>
      <c r="I57" s="12"/>
      <c r="J57" s="37"/>
    </row>
    <row r="58" ht="13.5" customHeight="1">
      <c r="B58" s="104"/>
      <c r="C58" s="19"/>
      <c r="D58" s="12"/>
      <c r="E58" s="37"/>
      <c r="F58" s="12"/>
      <c r="G58" s="19" t="s">
        <v>82</v>
      </c>
      <c r="H58" s="12"/>
      <c r="I58" s="12"/>
      <c r="J58" s="37"/>
    </row>
    <row r="59" ht="14.25" customHeight="1">
      <c r="B59" s="104"/>
      <c r="C59" s="19"/>
      <c r="D59" s="12"/>
      <c r="E59" s="37"/>
      <c r="F59" s="12"/>
      <c r="G59" s="19"/>
      <c r="H59" s="12"/>
      <c r="I59" s="12"/>
      <c r="J59" s="37"/>
    </row>
    <row r="60" ht="13.5" customHeight="1">
      <c r="B60" s="105" t="s">
        <v>83</v>
      </c>
      <c r="C60" s="106"/>
      <c r="D60" s="106" t="s">
        <v>84</v>
      </c>
      <c r="E60" s="106"/>
      <c r="F60" s="107" t="s">
        <v>85</v>
      </c>
      <c r="G60" s="4"/>
      <c r="H60" s="4"/>
      <c r="I60" s="106" t="s">
        <v>86</v>
      </c>
      <c r="J60" s="81"/>
    </row>
    <row r="61" ht="12.75" customHeight="1">
      <c r="B61" s="104"/>
      <c r="C61" s="12"/>
      <c r="D61" s="12"/>
      <c r="E61" s="12"/>
      <c r="F61" s="12"/>
      <c r="G61" s="12"/>
      <c r="H61" s="12"/>
      <c r="I61" s="12"/>
      <c r="J61" s="37"/>
    </row>
    <row r="62" ht="13.5" customHeight="1">
      <c r="B62" s="108" t="s">
        <v>87</v>
      </c>
      <c r="C62" s="28"/>
      <c r="D62" s="28" t="s">
        <v>88</v>
      </c>
      <c r="E62" s="28"/>
      <c r="F62" s="28" t="s">
        <v>89</v>
      </c>
      <c r="G62" s="28"/>
      <c r="H62" s="28"/>
      <c r="I62" s="28" t="s">
        <v>88</v>
      </c>
      <c r="J62" s="86"/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3:B5"/>
    <mergeCell ref="I3:J4"/>
    <mergeCell ref="C4:C5"/>
    <mergeCell ref="G5:H5"/>
    <mergeCell ref="B6:C6"/>
    <mergeCell ref="G6:H6"/>
    <mergeCell ref="C26:I26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4.5"/>
    <col customWidth="1" min="3" max="3" width="13.5"/>
    <col customWidth="1" min="4" max="4" width="9.38"/>
    <col customWidth="1" min="5" max="5" width="15.0"/>
    <col customWidth="1" min="6" max="6" width="11.88"/>
    <col customWidth="1" min="7" max="7" width="17.0"/>
    <col customWidth="1" min="8" max="26" width="8.0"/>
  </cols>
  <sheetData>
    <row r="1" ht="12.75" customHeight="1"/>
    <row r="2" ht="12.75" customHeight="1"/>
    <row r="3" ht="12.75" customHeight="1"/>
    <row r="4" ht="12.75" customHeight="1">
      <c r="B4" s="109" t="s">
        <v>90</v>
      </c>
      <c r="C4" s="109" t="s">
        <v>91</v>
      </c>
    </row>
    <row r="5" ht="12.75" customHeight="1">
      <c r="B5" s="109" t="s">
        <v>92</v>
      </c>
      <c r="C5" s="109"/>
    </row>
    <row r="6" ht="12.75" customHeight="1">
      <c r="B6" s="109" t="s">
        <v>10</v>
      </c>
      <c r="C6" s="109">
        <v>2.0</v>
      </c>
    </row>
    <row r="7" ht="13.5" customHeight="1">
      <c r="B7" s="109"/>
      <c r="C7" s="109"/>
    </row>
    <row r="8" ht="12.75" customHeight="1">
      <c r="B8" s="110" t="s">
        <v>18</v>
      </c>
      <c r="C8" s="111" t="s">
        <v>19</v>
      </c>
      <c r="D8" s="111" t="s">
        <v>20</v>
      </c>
      <c r="E8" s="111" t="s">
        <v>93</v>
      </c>
      <c r="F8" s="111" t="s">
        <v>94</v>
      </c>
      <c r="G8" s="112" t="s">
        <v>95</v>
      </c>
    </row>
    <row r="9" ht="12.75" customHeight="1">
      <c r="B9" s="113">
        <v>1.0</v>
      </c>
      <c r="C9" s="98" t="s">
        <v>96</v>
      </c>
      <c r="D9" s="98">
        <v>1.2</v>
      </c>
      <c r="E9" s="98">
        <v>100.0</v>
      </c>
      <c r="F9" s="114">
        <v>11000.0</v>
      </c>
      <c r="G9" s="115">
        <f>F9*E9</f>
        <v>1100000</v>
      </c>
    </row>
    <row r="10" ht="12.75" customHeight="1">
      <c r="B10" s="113">
        <v>2.0</v>
      </c>
      <c r="C10" s="98" t="s">
        <v>97</v>
      </c>
      <c r="D10" s="98"/>
      <c r="E10" s="98"/>
      <c r="F10" s="114"/>
      <c r="G10" s="115"/>
    </row>
    <row r="11" ht="12.75" customHeight="1">
      <c r="B11" s="113">
        <v>3.0</v>
      </c>
      <c r="C11" s="98"/>
      <c r="D11" s="98"/>
      <c r="E11" s="98"/>
      <c r="F11" s="114"/>
      <c r="G11" s="115"/>
    </row>
    <row r="12" ht="12.75" customHeight="1">
      <c r="B12" s="116">
        <v>4.0</v>
      </c>
      <c r="C12" s="117"/>
      <c r="D12" s="117"/>
      <c r="E12" s="117"/>
      <c r="F12" s="118"/>
      <c r="G12" s="119"/>
    </row>
    <row r="13" ht="12.75" customHeight="1">
      <c r="B13" s="116">
        <v>5.0</v>
      </c>
      <c r="C13" s="117"/>
      <c r="D13" s="117"/>
      <c r="E13" s="117"/>
      <c r="F13" s="118"/>
      <c r="G13" s="119"/>
    </row>
    <row r="14" ht="13.5" customHeight="1">
      <c r="B14" s="120">
        <v>4.0</v>
      </c>
      <c r="C14" s="121"/>
      <c r="D14" s="121"/>
      <c r="E14" s="117"/>
      <c r="F14" s="118"/>
      <c r="G14" s="119"/>
    </row>
    <row r="15" ht="12.75" customHeight="1">
      <c r="E15" s="98">
        <f>SUM(E9:E14)</f>
        <v>100</v>
      </c>
      <c r="F15" s="114"/>
      <c r="G15" s="122">
        <f>SUM(G9:G14)</f>
        <v>1100000</v>
      </c>
      <c r="H15" s="98" t="s">
        <v>98</v>
      </c>
      <c r="I15" s="123"/>
    </row>
    <row r="16" ht="12.75" customHeight="1">
      <c r="E16" s="98"/>
      <c r="F16" s="98" t="s">
        <v>99</v>
      </c>
      <c r="G16" s="98"/>
      <c r="H16" s="98" t="s">
        <v>98</v>
      </c>
      <c r="I16" s="123"/>
    </row>
    <row r="17" ht="15.75" customHeight="1">
      <c r="E17" s="98"/>
      <c r="F17" s="98"/>
      <c r="G17" s="124">
        <f>SUM(G15:G16)/E15</f>
        <v>11000</v>
      </c>
    </row>
    <row r="18" ht="12.75" customHeight="1">
      <c r="B18" s="103" t="s">
        <v>100</v>
      </c>
    </row>
    <row r="19" ht="12.75" customHeight="1">
      <c r="B19" s="103" t="s">
        <v>91</v>
      </c>
      <c r="C19" s="103" t="s">
        <v>101</v>
      </c>
      <c r="D19" s="103">
        <f>G17/10</f>
        <v>1100</v>
      </c>
    </row>
    <row r="20" ht="12.75" customHeight="1">
      <c r="B20" s="103" t="s">
        <v>102</v>
      </c>
      <c r="D20" s="103">
        <v>1500.0</v>
      </c>
    </row>
    <row r="21" ht="12.75" customHeight="1">
      <c r="B21" s="103" t="s">
        <v>103</v>
      </c>
      <c r="C21" s="12" t="s">
        <v>104</v>
      </c>
      <c r="D21" s="103">
        <f>5*2800</f>
        <v>14000</v>
      </c>
    </row>
    <row r="22" ht="12.75" customHeight="1">
      <c r="B22" s="103" t="s">
        <v>105</v>
      </c>
      <c r="D22" s="103">
        <v>1000.0</v>
      </c>
    </row>
    <row r="23" ht="12.75" customHeight="1">
      <c r="D23" s="125"/>
      <c r="E23" s="103" t="s">
        <v>106</v>
      </c>
    </row>
    <row r="24" ht="12.75" customHeight="1">
      <c r="B24" s="103" t="s">
        <v>107</v>
      </c>
      <c r="D24" s="103">
        <f>SUM(D19:D23)</f>
        <v>17600</v>
      </c>
    </row>
    <row r="25" ht="12.75" customHeight="1">
      <c r="B25" s="103" t="s">
        <v>108</v>
      </c>
      <c r="D25" s="125">
        <f>D24*55%</f>
        <v>9680</v>
      </c>
      <c r="E25" s="103" t="s">
        <v>106</v>
      </c>
    </row>
    <row r="26" ht="12.75" customHeight="1">
      <c r="D26" s="103">
        <f>SUM(D24:D25)</f>
        <v>27280</v>
      </c>
    </row>
    <row r="27" ht="12.75" customHeight="1">
      <c r="B27" s="103" t="s">
        <v>109</v>
      </c>
      <c r="D27" s="103">
        <v>28000.0</v>
      </c>
      <c r="E27" s="103" t="s">
        <v>110</v>
      </c>
      <c r="F27" s="126">
        <v>44565.0</v>
      </c>
    </row>
    <row r="28" ht="12.75" customHeight="1"/>
    <row r="29" ht="12.75" customHeight="1"/>
    <row r="30" ht="12.75" customHeight="1">
      <c r="B30" s="103" t="s">
        <v>111</v>
      </c>
    </row>
    <row r="31" ht="12.75" customHeight="1">
      <c r="B31" s="103" t="s">
        <v>91</v>
      </c>
      <c r="C31" s="103" t="s">
        <v>101</v>
      </c>
      <c r="D31" s="103">
        <f>G17/10</f>
        <v>1100</v>
      </c>
    </row>
    <row r="32" ht="12.75" customHeight="1">
      <c r="B32" s="103" t="s">
        <v>102</v>
      </c>
      <c r="D32" s="103">
        <v>1500.0</v>
      </c>
    </row>
    <row r="33" ht="12.75" customHeight="1">
      <c r="B33" s="103" t="s">
        <v>112</v>
      </c>
      <c r="C33" s="12" t="s">
        <v>104</v>
      </c>
      <c r="D33" s="103">
        <f>1*2800</f>
        <v>2800</v>
      </c>
    </row>
    <row r="34" ht="12.75" customHeight="1">
      <c r="B34" s="103" t="s">
        <v>105</v>
      </c>
      <c r="D34" s="103">
        <v>1000.0</v>
      </c>
    </row>
    <row r="35" ht="12.75" customHeight="1">
      <c r="D35" s="125"/>
      <c r="E35" s="103" t="s">
        <v>106</v>
      </c>
    </row>
    <row r="36" ht="12.75" customHeight="1">
      <c r="B36" s="103" t="s">
        <v>107</v>
      </c>
      <c r="D36" s="103">
        <f>SUM(D31:D35)</f>
        <v>6400</v>
      </c>
    </row>
    <row r="37" ht="12.75" customHeight="1">
      <c r="B37" s="103" t="s">
        <v>113</v>
      </c>
      <c r="D37" s="125">
        <f>D36*100%</f>
        <v>6400</v>
      </c>
      <c r="E37" s="103" t="s">
        <v>106</v>
      </c>
    </row>
    <row r="38" ht="12.75" customHeight="1">
      <c r="D38" s="103">
        <f>SUM(D36:D37)</f>
        <v>12800</v>
      </c>
    </row>
    <row r="39" ht="12.75" customHeight="1">
      <c r="B39" s="103" t="s">
        <v>109</v>
      </c>
      <c r="D39" s="103">
        <v>15000.0</v>
      </c>
      <c r="E39" s="103" t="s">
        <v>110</v>
      </c>
      <c r="F39" s="126">
        <v>44566.0</v>
      </c>
    </row>
    <row r="40" ht="12.75" customHeight="1"/>
    <row r="41" ht="12.75" customHeight="1"/>
    <row r="42" ht="12.75" customHeight="1">
      <c r="B42" s="103" t="s">
        <v>111</v>
      </c>
    </row>
    <row r="43" ht="12.75" customHeight="1">
      <c r="B43" s="103" t="s">
        <v>91</v>
      </c>
      <c r="C43" s="103" t="s">
        <v>101</v>
      </c>
      <c r="D43" s="103">
        <v>1100.0</v>
      </c>
    </row>
    <row r="44" ht="12.75" customHeight="1">
      <c r="B44" s="103" t="s">
        <v>102</v>
      </c>
      <c r="D44" s="103">
        <v>0.0</v>
      </c>
    </row>
    <row r="45" ht="12.75" customHeight="1">
      <c r="B45" s="103" t="s">
        <v>112</v>
      </c>
      <c r="C45" s="12" t="s">
        <v>104</v>
      </c>
      <c r="D45" s="103">
        <f>1*2800</f>
        <v>2800</v>
      </c>
    </row>
    <row r="46" ht="12.75" customHeight="1">
      <c r="B46" s="103" t="s">
        <v>105</v>
      </c>
      <c r="D46" s="103">
        <v>1000.0</v>
      </c>
    </row>
    <row r="47" ht="12.75" customHeight="1">
      <c r="D47" s="125"/>
      <c r="E47" s="103" t="s">
        <v>106</v>
      </c>
    </row>
    <row r="48" ht="12.75" customHeight="1">
      <c r="B48" s="103" t="s">
        <v>107</v>
      </c>
      <c r="D48" s="103">
        <f>SUM(D43:D47)</f>
        <v>4900</v>
      </c>
    </row>
    <row r="49" ht="12.75" customHeight="1">
      <c r="B49" s="103" t="s">
        <v>114</v>
      </c>
      <c r="D49" s="125">
        <f>D48*175%</f>
        <v>8575</v>
      </c>
      <c r="E49" s="103" t="s">
        <v>106</v>
      </c>
    </row>
    <row r="50" ht="12.75" customHeight="1">
      <c r="D50" s="103">
        <f>SUM(D48:D49)</f>
        <v>13475</v>
      </c>
    </row>
    <row r="51" ht="12.75" customHeight="1">
      <c r="B51" s="103" t="s">
        <v>109</v>
      </c>
      <c r="D51" s="103">
        <v>13500.0</v>
      </c>
      <c r="E51" s="103" t="s">
        <v>110</v>
      </c>
      <c r="F51" s="126">
        <v>44566.0</v>
      </c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1.63"/>
    <col customWidth="1" min="4" max="4" width="15.75"/>
    <col customWidth="1" min="5" max="5" width="21.25"/>
    <col customWidth="1" min="6" max="6" width="13.38"/>
    <col customWidth="1" min="7" max="26" width="8.0"/>
  </cols>
  <sheetData>
    <row r="1" ht="21.0" customHeight="1">
      <c r="A1" s="127" t="s">
        <v>115</v>
      </c>
      <c r="B1" s="128"/>
      <c r="C1" s="128"/>
      <c r="D1" s="128"/>
      <c r="E1" s="128"/>
      <c r="F1" s="128"/>
      <c r="G1" s="128"/>
      <c r="H1" s="8"/>
    </row>
    <row r="2" ht="21.0" customHeight="1">
      <c r="A2" s="129"/>
      <c r="B2" s="130"/>
      <c r="C2" s="130"/>
      <c r="D2" s="130"/>
      <c r="E2" s="130"/>
      <c r="F2" s="130"/>
      <c r="G2" s="130"/>
      <c r="H2" s="131"/>
    </row>
    <row r="3" ht="14.25" customHeight="1">
      <c r="A3" s="132"/>
      <c r="B3" s="133"/>
      <c r="C3" s="133"/>
      <c r="D3" s="134" t="s">
        <v>116</v>
      </c>
      <c r="E3" s="135"/>
      <c r="F3" s="136"/>
      <c r="G3" s="136"/>
      <c r="H3" s="137"/>
    </row>
    <row r="4" ht="25.5" customHeight="1">
      <c r="A4" s="138" t="s">
        <v>117</v>
      </c>
      <c r="B4" s="139" t="s">
        <v>118</v>
      </c>
      <c r="C4" s="140">
        <f>BGCorWB100!F7</f>
        <v>45399</v>
      </c>
      <c r="D4" s="141" t="s">
        <v>119</v>
      </c>
      <c r="E4" s="142" t="str">
        <f>BGCorWB100!F5</f>
        <v>Formulator : Silmi</v>
      </c>
      <c r="F4" s="143" t="s">
        <v>120</v>
      </c>
      <c r="G4" s="144" t="str">
        <f>BGCorWB100!F3</f>
        <v>SHOE UNYELLOWING - 13</v>
      </c>
      <c r="H4" s="145"/>
    </row>
    <row r="5" ht="14.25" customHeight="1">
      <c r="A5" s="138" t="s">
        <v>121</v>
      </c>
      <c r="B5" s="139" t="s">
        <v>118</v>
      </c>
      <c r="C5" s="142" t="s">
        <v>86</v>
      </c>
      <c r="D5" s="141" t="s">
        <v>122</v>
      </c>
      <c r="E5" s="146"/>
      <c r="F5" s="147" t="s">
        <v>123</v>
      </c>
      <c r="G5" s="148">
        <f>BGCorWB100!F6</f>
        <v>100</v>
      </c>
      <c r="H5" s="149"/>
    </row>
    <row r="6" ht="14.25" customHeight="1">
      <c r="A6" s="150"/>
      <c r="B6" s="139"/>
      <c r="C6" s="133"/>
      <c r="D6" s="151" t="s">
        <v>124</v>
      </c>
      <c r="E6" s="140">
        <f>BGCorWB100!F7</f>
        <v>45399</v>
      </c>
      <c r="F6" s="147" t="s">
        <v>75</v>
      </c>
      <c r="G6" s="142" t="s">
        <v>125</v>
      </c>
      <c r="H6" s="149"/>
    </row>
    <row r="7" ht="14.25" customHeight="1">
      <c r="A7" s="132"/>
      <c r="B7" s="133"/>
      <c r="C7" s="133"/>
      <c r="D7" s="152" t="s">
        <v>126</v>
      </c>
      <c r="E7" s="153"/>
      <c r="F7" s="154" t="s">
        <v>127</v>
      </c>
      <c r="G7" s="155">
        <v>200.0</v>
      </c>
      <c r="H7" s="156" t="s">
        <v>128</v>
      </c>
    </row>
    <row r="8" ht="14.25" customHeight="1">
      <c r="A8" s="132"/>
      <c r="B8" s="133"/>
      <c r="C8" s="133"/>
      <c r="D8" s="157"/>
      <c r="E8" s="157"/>
      <c r="F8" s="133"/>
      <c r="G8" s="133"/>
      <c r="H8" s="158"/>
    </row>
    <row r="9" ht="27.0" customHeight="1">
      <c r="A9" s="159" t="s">
        <v>129</v>
      </c>
      <c r="B9" s="160" t="s">
        <v>130</v>
      </c>
      <c r="C9" s="161"/>
      <c r="D9" s="160" t="s">
        <v>131</v>
      </c>
      <c r="E9" s="161"/>
      <c r="F9" s="160" t="s">
        <v>132</v>
      </c>
      <c r="G9" s="161"/>
      <c r="H9" s="162" t="s">
        <v>133</v>
      </c>
    </row>
    <row r="10" ht="14.25" customHeight="1">
      <c r="A10" s="163">
        <v>1.0</v>
      </c>
      <c r="B10" s="160" t="str">
        <f>BGCorWB100!C16</f>
        <v>Hydrogen Peroxide 50%</v>
      </c>
      <c r="C10" s="161"/>
      <c r="D10" s="160"/>
      <c r="E10" s="161"/>
      <c r="F10" s="164">
        <f>BGCorWB100!F9</f>
        <v>76.1</v>
      </c>
      <c r="G10" s="161"/>
      <c r="H10" s="165" t="str">
        <f t="shared" ref="H10:H15" si="1">'[1]BGCorWB100'!G9</f>
        <v>#REF!</v>
      </c>
    </row>
    <row r="11" ht="14.25" customHeight="1">
      <c r="A11" s="163">
        <v>2.0</v>
      </c>
      <c r="B11" s="160" t="str">
        <f>BGCorWB100!C9</f>
        <v>Aquadest</v>
      </c>
      <c r="C11" s="161"/>
      <c r="D11" s="160"/>
      <c r="E11" s="161"/>
      <c r="F11" s="164">
        <f>BGCorWB100!F10</f>
        <v>0.7</v>
      </c>
      <c r="G11" s="161"/>
      <c r="H11" s="165" t="str">
        <f t="shared" si="1"/>
        <v>#REF!</v>
      </c>
    </row>
    <row r="12" ht="14.25" customHeight="1">
      <c r="A12" s="163">
        <v>3.0</v>
      </c>
      <c r="B12" s="160" t="str">
        <f>BGCorWB100!C11</f>
        <v>NX 127</v>
      </c>
      <c r="C12" s="161"/>
      <c r="D12" s="160"/>
      <c r="E12" s="161"/>
      <c r="F12" s="164">
        <f>BGCorWB100!F11</f>
        <v>5</v>
      </c>
      <c r="G12" s="161"/>
      <c r="H12" s="165" t="str">
        <f t="shared" si="1"/>
        <v>#REF!</v>
      </c>
    </row>
    <row r="13" ht="14.25" customHeight="1">
      <c r="A13" s="163">
        <v>4.0</v>
      </c>
      <c r="B13" s="160" t="str">
        <f>BGCorWB100!#REF!</f>
        <v>#ERROR!</v>
      </c>
      <c r="C13" s="161"/>
      <c r="D13" s="160"/>
      <c r="E13" s="161"/>
      <c r="F13" s="164">
        <f>BGCorWB100!F12</f>
        <v>0.4</v>
      </c>
      <c r="G13" s="161"/>
      <c r="H13" s="165" t="str">
        <f t="shared" si="1"/>
        <v>#REF!</v>
      </c>
    </row>
    <row r="14" ht="14.25" customHeight="1">
      <c r="A14" s="163">
        <v>5.0</v>
      </c>
      <c r="B14" s="160" t="str">
        <f>BGCorWB100!C15</f>
        <v>ED 019</v>
      </c>
      <c r="C14" s="161"/>
      <c r="D14" s="160"/>
      <c r="E14" s="161"/>
      <c r="F14" s="164">
        <f>BGCorWB100!F13</f>
        <v>2.3</v>
      </c>
      <c r="G14" s="161"/>
      <c r="H14" s="165" t="str">
        <f t="shared" si="1"/>
        <v>#REF!</v>
      </c>
    </row>
    <row r="15" ht="14.25" customHeight="1">
      <c r="A15" s="163">
        <v>6.0</v>
      </c>
      <c r="B15" s="160" t="str">
        <f>BGCorWB100!#REF!</f>
        <v>#ERROR!</v>
      </c>
      <c r="C15" s="161"/>
      <c r="D15" s="160"/>
      <c r="E15" s="161"/>
      <c r="F15" s="164">
        <f>BGCorWB100!F14</f>
        <v>3</v>
      </c>
      <c r="G15" s="161"/>
      <c r="H15" s="165" t="str">
        <f t="shared" si="1"/>
        <v>#REF!</v>
      </c>
    </row>
    <row r="16" ht="14.25" customHeight="1">
      <c r="A16" s="163">
        <v>7.0</v>
      </c>
      <c r="B16" s="160" t="s">
        <v>75</v>
      </c>
      <c r="C16" s="161"/>
      <c r="D16" s="166" t="str">
        <f>G6</f>
        <v>DRUM</v>
      </c>
      <c r="E16" s="161"/>
      <c r="F16" s="167">
        <f>G5/G7</f>
        <v>0.5</v>
      </c>
      <c r="G16" s="161"/>
      <c r="H16" s="165" t="s">
        <v>134</v>
      </c>
    </row>
    <row r="17" ht="14.25" customHeight="1">
      <c r="A17" s="163">
        <v>8.0</v>
      </c>
      <c r="B17" s="160"/>
      <c r="C17" s="161"/>
      <c r="D17" s="160"/>
      <c r="E17" s="161"/>
      <c r="F17" s="164"/>
      <c r="G17" s="161"/>
      <c r="H17" s="165"/>
    </row>
    <row r="18" ht="14.25" customHeight="1">
      <c r="A18" s="163">
        <v>9.0</v>
      </c>
      <c r="B18" s="160"/>
      <c r="C18" s="161"/>
      <c r="D18" s="160"/>
      <c r="E18" s="161"/>
      <c r="F18" s="164"/>
      <c r="G18" s="161"/>
      <c r="H18" s="165"/>
    </row>
    <row r="19" ht="14.25" customHeight="1">
      <c r="A19" s="168"/>
      <c r="B19" s="169"/>
      <c r="D19" s="169"/>
      <c r="F19" s="169"/>
      <c r="H19" s="170"/>
    </row>
    <row r="20" ht="14.25" customHeight="1">
      <c r="A20" s="171" t="s">
        <v>86</v>
      </c>
      <c r="B20" s="172"/>
      <c r="C20" s="172"/>
      <c r="D20" s="172"/>
      <c r="E20" s="172" t="s">
        <v>135</v>
      </c>
      <c r="F20" s="133"/>
      <c r="G20" s="157"/>
      <c r="H20" s="170"/>
    </row>
    <row r="21" ht="12.75" customHeight="1">
      <c r="A21" s="173"/>
      <c r="B21" s="157"/>
      <c r="C21" s="157"/>
      <c r="D21" s="157"/>
      <c r="E21" s="157"/>
      <c r="F21" s="157"/>
      <c r="G21" s="157"/>
      <c r="H21" s="149"/>
    </row>
    <row r="22" ht="14.25" customHeight="1">
      <c r="A22" s="171"/>
      <c r="B22" s="172"/>
      <c r="C22" s="157"/>
      <c r="D22" s="157"/>
      <c r="E22" s="157"/>
      <c r="F22" s="157"/>
      <c r="G22" s="157"/>
      <c r="H22" s="149"/>
    </row>
    <row r="23" ht="14.25" customHeight="1">
      <c r="A23" s="171" t="s">
        <v>136</v>
      </c>
      <c r="B23" s="172"/>
      <c r="C23" s="174" t="s">
        <v>137</v>
      </c>
      <c r="D23" s="157"/>
      <c r="E23" s="157" t="s">
        <v>136</v>
      </c>
      <c r="F23" s="174" t="s">
        <v>137</v>
      </c>
      <c r="G23" s="157"/>
      <c r="H23" s="149"/>
    </row>
    <row r="24" ht="15.0" customHeight="1">
      <c r="A24" s="175"/>
      <c r="B24" s="176"/>
      <c r="C24" s="176"/>
      <c r="D24" s="176"/>
      <c r="E24" s="176"/>
      <c r="F24" s="176"/>
      <c r="G24" s="176"/>
      <c r="H24" s="177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5">
    <mergeCell ref="A1:H1"/>
    <mergeCell ref="G4:H4"/>
    <mergeCell ref="B9:C9"/>
    <mergeCell ref="D9:E9"/>
    <mergeCell ref="F9:G9"/>
    <mergeCell ref="D10:E10"/>
    <mergeCell ref="F10:G10"/>
    <mergeCell ref="B10:C10"/>
    <mergeCell ref="B11:C11"/>
    <mergeCell ref="D11:E11"/>
    <mergeCell ref="F11:G11"/>
    <mergeCell ref="B12:C12"/>
    <mergeCell ref="D12:E12"/>
    <mergeCell ref="F12:G12"/>
    <mergeCell ref="D15:E15"/>
    <mergeCell ref="F15:G15"/>
    <mergeCell ref="B13:C13"/>
    <mergeCell ref="D13:E13"/>
    <mergeCell ref="F13:G13"/>
    <mergeCell ref="B14:C14"/>
    <mergeCell ref="D14:E14"/>
    <mergeCell ref="F14:G14"/>
    <mergeCell ref="B15:C15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8:C18"/>
  </mergeCells>
  <printOptions/>
  <pageMargins bottom="0.75" footer="0.0" header="0.0" left="0.7" right="0.7" top="0.75"/>
  <pageSetup orientation="landscape"/>
  <drawing r:id="rId1"/>
</worksheet>
</file>