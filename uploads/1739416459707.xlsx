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MIB Boil Clean - Acid Based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<sst xmlns="http://schemas.openxmlformats.org/spreadsheetml/2006/main" count="124" uniqueCount="109">
  <si>
    <t>Tanggal produksi</t>
  </si>
  <si>
    <t>Nama Produk</t>
  </si>
  <si>
    <t>MIB Boil Cleaner - Acid Based</t>
  </si>
  <si>
    <t>Batch No.</t>
  </si>
  <si>
    <t>12.02.25.T3-01</t>
  </si>
  <si>
    <t>BLENDING GUIDE &amp; SPKP</t>
  </si>
  <si>
    <t>No Resep</t>
  </si>
  <si>
    <t>Tank No.</t>
  </si>
  <si>
    <t>T3</t>
  </si>
  <si>
    <t>Keterangan</t>
  </si>
  <si>
    <t>scale and corrosion cleaner for boiler - Acid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</si>
  <si>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</si>
  <si>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</si>
  <si>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</si>
  <si>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</si>
  <si>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</si>
  <si>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</si>
  <si>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</si>
  <si>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</si>
  <si>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</si>
  <si>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</si>
  <si>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</si>
  <si>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</si>
  <si>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</si>
  <si>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</si>
  <si>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</si>
  <si>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</si>
  <si>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</si>
  <si>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</si>
  <si>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</si>
  <si>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NP 033</t>
  </si>
  <si>
    <t>AB 081</t>
  </si>
  <si>
    <t>HC 078</t>
  </si>
  <si>
    <t>Armohib 28</t>
  </si>
  <si>
    <t>HE 140</t>
  </si>
  <si>
    <t>Pelindung diri</t>
  </si>
  <si>
    <t>Pail @25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</si>
  <si>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</si>
  <si>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</si>
  <si>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</si>
  <si>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</si>
  <si>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</si>
  <si>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</si>
  <si>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</si>
  <si>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</si>
  <si>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</si>
  <si>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</si>
  <si>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</si>
  <si>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</si>
  <si>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</si>
  <si>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NP 033 sesuai komposisi, lalu aduk sampai larut seumpurna (Tidak ada gumpalan)</t>
  </si>
  <si>
    <t>Masukkan AB 081 sesuai komposisi, lalu aduk sampai larut sempurna</t>
  </si>
  <si>
    <t>Masukkan HC 078 sesuai komposisi, lalu aduk hingga larut sempurna</t>
  </si>
  <si>
    <t>Masukkan Armohib 28 sesuai komposisi BG,  lalu aduk sampai larut sempurna (tidak ada gumpalan)</t>
  </si>
  <si>
    <t>Masukkan HE 140 sesuai komposisi BG,  lalu aduk sampai larut sempurna (tidak ada endapan) dan larutan bening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</si>
  <si>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</si>
  <si>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</si>
  <si>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</si>
  <si>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</si>
  <si>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</si>
  <si>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</si>
  <si>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</si>
  <si>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</si>
  <si>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</si>
  <si>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</si>
  <si>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</si>
  <si>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0-1</t>
  </si>
  <si>
    <t>Warna</t>
  </si>
  <si>
    <t>Clear Transparant</t>
  </si>
  <si>
    <t>Densitas</t>
  </si>
  <si>
    <t>1,10 - 1,12</t>
  </si>
  <si>
    <t>Kemasan</t>
  </si>
  <si>
    <t>Pail @25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</si>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</sst>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"/>
    <numFmt numFmtId="165" formatCode="0.0_ "/>
    <numFmt numFmtId="166" formatCode="0.000_ "/>
    <numFmt numFmtId="167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5" fontId="8" fillId="0" borderId="44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7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4" xfId="0" applyFont="1" applyBorder="1" applyAlignment="1">
      <alignment vertical="center"/>
    </xf>
    <xf numFmtId="0" fontId="17" fillId="0" borderId="45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6" xfId="0" applyFont="1" applyBorder="1" applyAlignment="1">
      <alignment horizontal="left" vertical="bottom"/>
    </xf>
    <xf numFmtId="0" fontId="18" fillId="0" borderId="56" xfId="0" applyFont="1" applyBorder="1" applyAlignment="1">
      <alignment horizontal="center" vertical="bottom"/>
    </xf>
    <xf numFmtId="0" fontId="18" fillId="0" borderId="57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8" xfId="0" applyNumberFormat="1" applyFont="1" applyBorder="1" applyAlignment="1">
      <alignment vertical="bottom"/>
    </xf>
    <xf numFmtId="0" fontId="19" fillId="0" borderId="58" xfId="0" applyFont="1" applyBorder="1" applyAlignment="1">
      <alignment horizontal="left" vertical="bottom"/>
    </xf>
    <xf numFmtId="0" fontId="20" fillId="0" borderId="58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9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bottom" wrapText="1"/>
    </xf>
    <xf numFmtId="167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4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7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0.38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1000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45497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100-SUM(E10:E14)</f>
        <v>42.8</v>
      </c>
      <c r="F9" s="49">
        <f t="shared" ref="F9:F14" si="0">(E9/100)*$F$6</f>
        <v>42.8</v>
      </c>
      <c r="G9" s="19" t="s">
        <v>29</v>
      </c>
      <c r="H9" s="50">
        <v>11000</v>
      </c>
      <c r="I9" s="51">
        <f>E9*H9</f>
        <v>470800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3</v>
      </c>
      <c r="F10" s="49">
        <f t="shared" si="0"/>
        <v>3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46" t="s">
        <v>31</v>
      </c>
      <c r="D11" s="47"/>
      <c r="E11" s="48">
        <v>5</v>
      </c>
      <c r="F11" s="49">
        <f t="shared" si="0"/>
        <v>5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5"/>
      <c r="E12" s="54">
        <v>45</v>
      </c>
      <c r="F12" s="49">
        <f t="shared" si="0"/>
        <v>45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56" t="s">
        <v>33</v>
      </c>
      <c r="D13" s="47"/>
      <c r="E13" s="48">
        <v>0.2</v>
      </c>
      <c r="F13" s="49">
        <f t="shared" si="0"/>
        <v>0.2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56" t="s">
        <v>34</v>
      </c>
      <c r="D14" s="47"/>
      <c r="E14" s="48">
        <v>4</v>
      </c>
      <c r="F14" s="49">
        <f t="shared" si="0"/>
        <v>4</v>
      </c>
      <c r="G14" s="57"/>
      <c r="H14" s="58"/>
      <c r="I14" s="51">
        <f>E10*H14</f>
        <v>0</v>
      </c>
      <c r="J14" s="52"/>
    </row>
    <row r="15" ht="15.75" customHeight="1" spans="2:10" x14ac:dyDescent="0.25">
      <c r="B15" s="59"/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35</v>
      </c>
      <c r="C17" s="74"/>
      <c r="D17" s="74"/>
      <c r="E17" s="75" t="s">
        <v>36</v>
      </c>
      <c r="F17" s="76">
        <v>5</v>
      </c>
      <c r="G17" s="74" t="s">
        <v>37</v>
      </c>
      <c r="H17" s="74"/>
      <c r="I17" s="4"/>
      <c r="J17" s="77"/>
    </row>
    <row r="18" ht="15" customHeight="1" spans="2:10" x14ac:dyDescent="0.25">
      <c r="B18" s="67">
        <v>1</v>
      </c>
      <c r="C18" s="19" t="s">
        <v>38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39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40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41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42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43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44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45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46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47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48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49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50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51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52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53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54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55</v>
      </c>
      <c r="D35" s="19"/>
      <c r="E35" s="19"/>
      <c r="F35" s="19"/>
      <c r="G35" s="19"/>
      <c r="H35" s="19"/>
      <c r="I35" s="12"/>
      <c r="J35" s="37"/>
    </row>
    <row r="36" ht="13.5" customHeight="1" spans="2:10" x14ac:dyDescent="0.25">
      <c r="B36" s="67">
        <v>8</v>
      </c>
      <c r="C36" s="19" t="s">
        <v>56</v>
      </c>
      <c r="D36" s="19"/>
      <c r="E36" s="19"/>
      <c r="F36" s="19"/>
      <c r="G36" s="19"/>
      <c r="H36" s="19"/>
      <c r="I36" s="12"/>
      <c r="J36" s="37"/>
    </row>
    <row r="37" ht="14.25" customHeight="1" spans="2:10" x14ac:dyDescent="0.25">
      <c r="B37" s="67"/>
      <c r="C37" s="27"/>
      <c r="D37" s="27"/>
      <c r="E37" s="27"/>
      <c r="F37" s="27"/>
      <c r="G37" s="27"/>
      <c r="H37" s="27"/>
      <c r="I37" s="28"/>
      <c r="J37" s="82"/>
    </row>
    <row r="38" ht="14.25" customHeight="1" spans="2:10" x14ac:dyDescent="0.25">
      <c r="B38" s="73" t="s">
        <v>57</v>
      </c>
      <c r="C38" s="74" t="s">
        <v>58</v>
      </c>
      <c r="D38" s="74"/>
      <c r="E38" s="74" t="s">
        <v>59</v>
      </c>
      <c r="F38" s="74"/>
      <c r="G38" s="74" t="s">
        <v>60</v>
      </c>
      <c r="H38" s="74"/>
      <c r="I38" s="4"/>
      <c r="J38" s="77"/>
    </row>
    <row r="39" ht="13.5" customHeight="1" spans="2:10" x14ac:dyDescent="0.25">
      <c r="B39" s="34"/>
      <c r="C39" s="14" t="s">
        <v>61</v>
      </c>
      <c r="D39" s="14" t="s">
        <v>62</v>
      </c>
      <c r="E39" s="14" t="s">
        <v>63</v>
      </c>
      <c r="F39" s="19"/>
      <c r="G39" s="83" t="s">
        <v>20</v>
      </c>
      <c r="H39" s="84" t="s">
        <v>21</v>
      </c>
      <c r="I39" s="85" t="s">
        <v>64</v>
      </c>
      <c r="J39" s="37"/>
    </row>
    <row r="40" ht="13.5" customHeight="1" spans="2:10" x14ac:dyDescent="0.25">
      <c r="B40" s="67">
        <v>1</v>
      </c>
      <c r="C40" s="14" t="s">
        <v>65</v>
      </c>
      <c r="D40" s="86" t="s">
        <v>66</v>
      </c>
      <c r="E40" s="14"/>
      <c r="F40" s="19"/>
      <c r="G40" s="87">
        <v>1</v>
      </c>
      <c r="H40" s="88" t="str">
        <f>#REF!</f>
        <v>#REF!</v>
      </c>
      <c r="I40" s="89"/>
      <c r="J40" s="37"/>
    </row>
    <row r="41" ht="13.5" customHeight="1" spans="2:10" x14ac:dyDescent="0.25">
      <c r="B41" s="67">
        <v>2</v>
      </c>
      <c r="C41" s="90" t="s">
        <v>67</v>
      </c>
      <c r="D41" s="90" t="s">
        <v>68</v>
      </c>
      <c r="E41" s="91"/>
      <c r="F41" s="19"/>
      <c r="G41" s="87">
        <v>2</v>
      </c>
      <c r="H41" s="88" t="str">
        <f>C9</f>
        <v>Aquadest</v>
      </c>
      <c r="I41" s="89"/>
      <c r="J41" s="37"/>
    </row>
    <row r="42" ht="13.5" customHeight="1" spans="2:10" x14ac:dyDescent="0.25">
      <c r="B42" s="67">
        <v>3</v>
      </c>
      <c r="C42" s="14" t="s">
        <v>69</v>
      </c>
      <c r="D42" s="14" t="s">
        <v>70</v>
      </c>
      <c r="E42" s="14"/>
      <c r="F42" s="19"/>
      <c r="G42" s="87">
        <v>3</v>
      </c>
      <c r="H42" s="88" t="str">
        <f>C11</f>
        <v>AB 081</v>
      </c>
      <c r="I42" s="89"/>
      <c r="J42" s="37"/>
    </row>
    <row r="43" ht="13.5" customHeight="1" spans="2:10" x14ac:dyDescent="0.25">
      <c r="B43" s="67">
        <v>4</v>
      </c>
      <c r="C43" s="14"/>
      <c r="D43" s="14"/>
      <c r="E43" s="14"/>
      <c r="F43" s="19"/>
      <c r="G43" s="92">
        <v>4</v>
      </c>
      <c r="H43" s="88" t="str">
        <f>C10</f>
        <v>NP 033</v>
      </c>
      <c r="I43" s="93"/>
      <c r="J43" s="37"/>
    </row>
    <row r="44" ht="13.5" customHeight="1" spans="2:10" x14ac:dyDescent="0.25">
      <c r="B44" s="67">
        <v>5</v>
      </c>
      <c r="C44" s="94"/>
      <c r="D44" s="94"/>
      <c r="E44" s="90"/>
      <c r="F44" s="19"/>
      <c r="G44" s="87">
        <v>5</v>
      </c>
      <c r="H44" s="88" t="str">
        <f>#REF!</f>
        <v>#REF!</v>
      </c>
      <c r="I44" s="89"/>
      <c r="J44" s="37"/>
    </row>
    <row r="45" ht="14.25" customHeight="1" spans="2:20" x14ac:dyDescent="0.25">
      <c r="B45" s="95"/>
      <c r="C45" s="96"/>
      <c r="D45" s="96"/>
      <c r="E45" s="96"/>
      <c r="F45" s="27"/>
      <c r="G45" s="97">
        <v>6</v>
      </c>
      <c r="H45" s="88" t="str">
        <f>C14</f>
        <v>HE 140</v>
      </c>
      <c r="I45" s="98"/>
      <c r="J45" s="82"/>
      <c r="T45" s="99">
        <f>88.58/80</f>
        <v>1.10725</v>
      </c>
    </row>
    <row r="46" ht="13.5" customHeight="1" spans="2:10" x14ac:dyDescent="0.25">
      <c r="B46" s="34" t="s">
        <v>71</v>
      </c>
      <c r="C46" s="19"/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>
        <v>1</v>
      </c>
      <c r="C47" s="19" t="s">
        <v>72</v>
      </c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67"/>
      <c r="C48" s="19"/>
      <c r="D48" s="19"/>
      <c r="E48" s="19"/>
      <c r="F48" s="19"/>
      <c r="G48" s="19"/>
      <c r="H48" s="19"/>
      <c r="I48" s="12"/>
      <c r="J48" s="37"/>
    </row>
    <row r="49" ht="13.5" customHeight="1" spans="2:10" x14ac:dyDescent="0.25">
      <c r="B49" s="34" t="s">
        <v>73</v>
      </c>
      <c r="C49" s="12"/>
      <c r="D49" s="12"/>
      <c r="E49" s="12"/>
      <c r="F49" s="12"/>
      <c r="G49" s="12"/>
      <c r="H49" s="12"/>
      <c r="I49" s="12"/>
      <c r="J49" s="37"/>
    </row>
    <row r="50" ht="14.25" customHeight="1" spans="2:10" x14ac:dyDescent="0.25">
      <c r="B50" s="95">
        <v>1</v>
      </c>
      <c r="C50" s="27" t="s">
        <v>74</v>
      </c>
      <c r="D50" s="28"/>
      <c r="E50" s="28"/>
      <c r="F50" s="28"/>
      <c r="G50" s="28"/>
      <c r="H50" s="28"/>
      <c r="I50" s="28"/>
      <c r="J50" s="82"/>
    </row>
    <row r="51" ht="13.5" customHeight="1" spans="2:10" x14ac:dyDescent="0.25">
      <c r="B51" s="73" t="s">
        <v>75</v>
      </c>
      <c r="C51" s="74"/>
      <c r="D51" s="4"/>
      <c r="E51" s="77"/>
      <c r="F51" s="73" t="s">
        <v>76</v>
      </c>
      <c r="G51" s="74"/>
      <c r="H51" s="4"/>
      <c r="I51" s="4"/>
      <c r="J51" s="77"/>
    </row>
    <row r="52" ht="12.75" customHeight="1" spans="2:10" x14ac:dyDescent="0.25">
      <c r="B52" s="100"/>
      <c r="C52" s="12"/>
      <c r="D52" s="12"/>
      <c r="E52" s="37"/>
      <c r="F52" s="12"/>
      <c r="G52" s="12"/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77</v>
      </c>
      <c r="H53" s="12"/>
      <c r="I53" s="12"/>
      <c r="J53" s="37"/>
    </row>
    <row r="54" ht="13.5" customHeight="1" spans="2:10" x14ac:dyDescent="0.25">
      <c r="B54" s="100"/>
      <c r="C54" s="19"/>
      <c r="D54" s="12"/>
      <c r="E54" s="37"/>
      <c r="F54" s="12"/>
      <c r="G54" s="19" t="s">
        <v>78</v>
      </c>
      <c r="H54" s="12"/>
      <c r="I54" s="12"/>
      <c r="J54" s="37"/>
    </row>
    <row r="55" ht="14.25" customHeight="1" spans="2:10" x14ac:dyDescent="0.25">
      <c r="B55" s="100"/>
      <c r="C55" s="19"/>
      <c r="D55" s="12"/>
      <c r="E55" s="37"/>
      <c r="F55" s="12"/>
      <c r="G55" s="19"/>
      <c r="H55" s="12"/>
      <c r="I55" s="12"/>
      <c r="J55" s="37"/>
    </row>
    <row r="56" ht="13.5" customHeight="1" spans="2:10" x14ac:dyDescent="0.25">
      <c r="B56" s="101" t="s">
        <v>79</v>
      </c>
      <c r="C56" s="102"/>
      <c r="D56" s="102" t="s">
        <v>80</v>
      </c>
      <c r="E56" s="102"/>
      <c r="F56" s="103" t="s">
        <v>81</v>
      </c>
      <c r="G56" s="4"/>
      <c r="H56" s="4"/>
      <c r="I56" s="102" t="s">
        <v>82</v>
      </c>
      <c r="J56" s="77"/>
    </row>
    <row r="57" ht="12.75" customHeight="1" spans="2:10" x14ac:dyDescent="0.25">
      <c r="B57" s="100"/>
      <c r="C57" s="12"/>
      <c r="D57" s="12"/>
      <c r="E57" s="12"/>
      <c r="F57" s="12"/>
      <c r="G57" s="12"/>
      <c r="H57" s="12"/>
      <c r="I57" s="12"/>
      <c r="J57" s="37"/>
    </row>
    <row r="58" ht="13.5" customHeight="1" spans="2:10" x14ac:dyDescent="0.25">
      <c r="B58" s="104" t="s">
        <v>83</v>
      </c>
      <c r="C58" s="28"/>
      <c r="D58" s="28" t="s">
        <v>84</v>
      </c>
      <c r="E58" s="28"/>
      <c r="F58" s="28" t="s">
        <v>85</v>
      </c>
      <c r="G58" s="28"/>
      <c r="H58" s="28"/>
      <c r="I58" s="28" t="s">
        <v>84</v>
      </c>
      <c r="J58" s="82"/>
    </row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MIB Boil Clean - Acid Based'!F7</f>
        <v>45497</v>
      </c>
      <c r="D4" s="119" t="s">
        <v>90</v>
      </c>
      <c r="E4" s="120" t="str">
        <f>'BG MIB Boil Clean - Acid Based'!F5</f>
        <v>scale and corrosion cleaner for boiler - Acid Based</v>
      </c>
      <c r="F4" s="121" t="s">
        <v>91</v>
      </c>
      <c r="G4" s="122" t="str">
        <f>'BG MIB Boil Clean - Acid Based'!F3</f>
        <v>MIB Boil Cleaner - Acid Based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MIB Boil Clean - Acid Based'!F6</f>
        <v>100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MIB Boil Clean - Acid Based'!F7</f>
        <v>45497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MIB Boil Clean - Acid Based'!#REF!</f>
        <v>#ERROR!</v>
      </c>
      <c r="C10" s="139"/>
      <c r="D10" s="138"/>
      <c r="E10" s="139"/>
      <c r="F10" s="142">
        <f>'BG MIB Boil Clean - Acid Based'!F9</f>
        <v>42.8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MIB Boil Clean - Acid Based'!C9</f>
        <v>Aquadest</v>
      </c>
      <c r="C11" s="139"/>
      <c r="D11" s="138"/>
      <c r="E11" s="139"/>
      <c r="F11" s="142">
        <f>'BG MIB Boil Clean - Acid Based'!F10</f>
        <v>3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MIB Boil Clean - Acid Based'!C11</f>
        <v>AB 081</v>
      </c>
      <c r="C12" s="139"/>
      <c r="D12" s="138"/>
      <c r="E12" s="139"/>
      <c r="F12" s="142">
        <f>'BG MIB Boil Clean - Acid Based'!F11</f>
        <v>5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MIB Boil Clean - Acid Based'!#REF!</f>
        <v>#ERROR!</v>
      </c>
      <c r="C13" s="139"/>
      <c r="D13" s="138"/>
      <c r="E13" s="139"/>
      <c r="F13" s="142">
        <f>'BG MIB Boil Clean - Acid Based'!F12</f>
        <v>45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MIB Boil Clean - Acid Based'!#REF!</f>
        <v>#ERROR!</v>
      </c>
      <c r="C14" s="139"/>
      <c r="D14" s="138"/>
      <c r="E14" s="139"/>
      <c r="F14" s="142">
        <f>'BG MIB Boil Clean - Acid Based'!F13</f>
        <v>0.2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MIB Boil Clean - Acid Based'!#REF!</f>
        <v>#ERROR!</v>
      </c>
      <c r="C15" s="139"/>
      <c r="D15" s="138"/>
      <c r="E15" s="139"/>
      <c r="F15" s="142">
        <f>'BG MIB Boil Clean - Acid Based'!F14</f>
        <v>4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0.5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MIB Boil Clean - Acid Based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2025-02-12T01:42:34Z</dcterms:created>
  <dcterms:modified xsi:type="dcterms:W3CDTF">2025-02-12T01:42:34Z</dcterms:modified>
</cp:coreProperties>
</file>