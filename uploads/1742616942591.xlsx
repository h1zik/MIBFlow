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BG_ChemX 119266 A" state="visible" r:id="rId4"/>
    <sheet sheetId="12" name="Sheet1" state="visible" r:id="rId5"/>
  </sheets>
  <definedNames>
    <definedName name="_xlnm.Print_Area" localSheetId="0">'BG_ChemX 119266 A'!$B3:$J56</definedName>
    <definedName name="_xlnm.Print_Area" localSheetId="1">'Sheet1'!$A1:$H21</definedName>
  </definedNames>
  <calcPr calcId="171027"/>
</workbook>
</file>

<file path=xl/sharedStrings.xml><?xml version="1.0" encoding="utf-8"?>
<sst xmlns="http://schemas.openxmlformats.org/spreadsheetml/2006/main" count="180" uniqueCount="120">
  <si>
    <t>Tanggal produksi</t>
  </si>
  <si>
    <t>Nama Produk</t>
  </si>
  <si>
    <t>ChemX 119266 A</t>
  </si>
  <si>
    <t>Batch No.</t>
  </si>
  <si>
    <t>22.02.25.Tank 5-01</t>
  </si>
  <si>
    <t>BLENDING GUIDE &amp; SPKP</t>
  </si>
  <si>
    <t>No Resep</t>
  </si>
  <si>
    <t>002/BG/MIB/II-24</t>
  </si>
  <si>
    <t>Tank No.</t>
  </si>
  <si>
    <t>Tank 5</t>
  </si>
  <si>
    <t>Keterangan</t>
  </si>
  <si>
    <t>ITS - 428Wn/ITS-PO/I/2025</t>
  </si>
  <si>
    <t>Jumlah produksi/batch</t>
  </si>
  <si>
    <t>Versi</t>
  </si>
  <si>
    <t>: 2</t>
  </si>
  <si>
    <t>PT. Mandiri Inovasi Bersama</t>
  </si>
  <si>
    <t>Jumlah Produksi (kg)</t>
  </si>
  <si>
    <t>Page</t>
  </si>
  <si>
    <t>: 1/1</t>
  </si>
  <si>
    <t>Resep</t>
  </si>
  <si>
    <t xml:space="preserve">Tgl Cetak BG </t>
  </si>
  <si>
    <t>No</t>
  </si>
  <si>
    <t>Nama barang</t>
  </si>
  <si>
    <t>SG (kg/l)</t>
  </si>
  <si>
    <t>Fomula (%b/b)</t>
  </si>
  <si>
    <t>Komposisi (kg)</t>
  </si>
  <si>
    <t>Disiapkan</t>
  </si>
  <si>
    <t>Dipakai</t>
  </si>
  <si>
    <t>Sisa</t>
  </si>
  <si>
    <t>Air</t>
  </si>
  <si>
    <t>gr</t>
  </si>
  <si>
    <t>PA 139</t>
  </si>
  <si>
    <t>CF 091</t>
  </si>
  <si>
    <t>HE 140</t>
  </si>
  <si>
    <t>TT 092</t>
  </si>
  <si>
    <t>BC Sagara</t>
  </si>
  <si>
    <t>Total</t>
  </si>
  <si>
    <t>Pelindung diri</t>
  </si>
  <si>
    <t>Kaca mata</t>
  </si>
  <si>
    <t>Sepatu safety</t>
  </si>
  <si>
    <t xml:space="preserve"> </t>
  </si>
  <si>
    <t>Sarung tangan karet</t>
  </si>
  <si>
    <t>Semua bahan kimia yang digunakan tidak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</si>
  <si>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</si>
  <si>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</si>
  <si>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</si>
  <si>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</si>
  <si>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</si>
  <si>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</si>
  <si>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</si>
  <si>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Timbang air sebanyak yang dibutuhkan dan masukan dalam tangki pengadukan</t>
  </si>
  <si>
    <t>Masukan CF 091 dan TT 092 aduk sampai larut dan bening</t>
  </si>
  <si>
    <t>Tambahkan HE 140 aduk sampai larut</t>
  </si>
  <si>
    <t>Terakhir masukan PA 139 aduk sampai larut dan bening</t>
  </si>
  <si>
    <t>Bila sudah selesai ambil sampel untuk analisa lab</t>
  </si>
  <si>
    <t>Bila hasil lab OK, kemas sesuai kebutuhan</t>
  </si>
  <si>
    <t>Quality control</t>
  </si>
  <si>
    <t>(Diisi oleh bagian QC Lab.)</t>
  </si>
  <si>
    <t>Produk Jadi</t>
  </si>
  <si>
    <t>QC BB</t>
  </si>
  <si>
    <t>Parameter</t>
  </si>
  <si>
    <t>Teori</t>
  </si>
  <si>
    <t>Real</t>
  </si>
  <si>
    <t>QC Dec</t>
  </si>
  <si>
    <t xml:space="preserve">Tampilan </t>
  </si>
  <si>
    <t>Cair bening</t>
  </si>
  <si>
    <t>pH</t>
  </si>
  <si>
    <t>12.00-13.00</t>
  </si>
  <si>
    <t>SG</t>
  </si>
  <si>
    <t>1.05-1.07</t>
  </si>
  <si>
    <t>Busa</t>
  </si>
  <si>
    <t>Warna</t>
  </si>
  <si>
    <t>-</t>
  </si>
  <si>
    <t>Aroma</t>
  </si>
  <si>
    <t>Kemasan ( Diisi bagian PPIC )</t>
  </si>
  <si>
    <t>Jerigen  5 liter</t>
  </si>
  <si>
    <t>⃝</t>
  </si>
  <si>
    <t>Drum 200 liter</t>
  </si>
  <si>
    <t>Jerigen  20 liter</t>
  </si>
  <si>
    <t>IBC Tank 1000 L</t>
  </si>
  <si>
    <t>TANK 2</t>
  </si>
  <si>
    <t>Jerigen 25 liter</t>
  </si>
  <si>
    <t>Label</t>
  </si>
  <si>
    <t>Tanpa label (polos)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</si>
  <si>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</si>
  <si>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</si>
  <si>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</si>
  <si>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</si>
  <si>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</si>
  <si>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</si>
  <si>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</si>
  <si>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</si>
  <si>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</si>
  <si>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</si>
  <si>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</si>
  <si>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</si>
  <si>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</si>
  <si>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</si>
  <si>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</si>
  <si>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</si>
  <si>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</si>
  <si>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</si>
  <si>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</si>
  <si>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</si>
  <si>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</si>
  <si>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Kemasan</t>
  </si>
  <si>
    <t xml:space="preserve">Jerigen Putih susu 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</si>
  <si>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</si>
  <si>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</si>
  <si>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</si>
  <si>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</si>
  <si>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</si>
  <si>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</si>
  <si>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</si>
  <si>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</si>
  <si>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pc</t>
  </si>
  <si>
    <t>LOGISTIC</t>
  </si>
  <si>
    <t>(</t>
  </si>
  <si>
    <t>)</t>
  </si>
  <si>
    <t>Unit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</si>
</sst>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09]d/mmm/yy;@"/>
    <numFmt numFmtId="165" formatCode="0.000_ "/>
    <numFmt numFmtId="166" formatCode="0.0_ "/>
    <numFmt numFmtId="167" formatCode="[$-409]d-mmm-yy;@"/>
    <numFmt numFmtId="168" formatCode="#,##0.000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1"/>
      <sz val="11"/>
      <name val="Times New Roman"/>
    </font>
    <font>
      <b/>
      <family val="1"/>
      <sz val="12"/>
      <name val="Times New Roman"/>
    </font>
    <font>
      <b/>
      <charset val="128"/>
      <family val="3"/>
      <sz val="11"/>
      <name val="ＭＳ Ｐゴシック"/>
    </font>
    <font>
      <color rgb="FFFF0000"/>
      <family val="1"/>
      <sz val="11"/>
      <name val="Times New Roman"/>
    </font>
    <font>
      <b/>
      <family val="1"/>
      <sz val="11"/>
      <name val="Times New Roman"/>
    </font>
    <font>
      <b/>
      <sz val="11"/>
      <name val="ＭＳ Ｐゴシック"/>
    </font>
    <font>
      <family val="1"/>
      <sz val="14"/>
      <name val="Times New Roman"/>
    </font>
    <font>
      <b/>
      <family val="1"/>
      <strike/>
      <sz val="11"/>
      <name val="Times New Roman"/>
    </font>
    <font>
      <u val="double"/>
      <color theme="0"/>
      <family val="1"/>
      <strike/>
      <sz val="11"/>
      <name val="Times New Roman"/>
    </font>
    <font>
      <b/>
      <color theme="1"/>
      <family val="1"/>
      <sz val="12"/>
      <name val="Times New Roman"/>
    </font>
    <font>
      <color theme="0"/>
      <family val="1"/>
      <sz val="11"/>
      <name val="Times New Roman"/>
    </font>
    <font>
      <charset val="128"/>
      <color theme="0"/>
      <family val="3"/>
      <sz val="11"/>
      <name val="ＭＳ Ｐゴシック"/>
    </font>
    <font>
      <u val="double"/>
      <color rgb="FFFF0000"/>
      <family val="1"/>
      <strike/>
      <sz val="11"/>
      <name val="Times New Roman"/>
    </font>
    <font>
      <u val="double"/>
      <color theme="1"/>
      <family val="1"/>
      <strike/>
      <sz val="11"/>
      <name val="Times New Roman"/>
    </font>
    <font>
      <family val="1"/>
      <scheme val="major"/>
      <sz val="11"/>
      <name val="Cambria"/>
    </font>
    <font>
      <color theme="1"/>
      <family val="1"/>
      <sz val="11"/>
      <name val="Times New Roman"/>
    </font>
    <font>
      <color rgb="FF00B0F0"/>
      <family val="1"/>
      <sz val="11"/>
      <name val="Times New Roman"/>
    </font>
    <font>
      <family val="2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harset val="128"/>
      <color rgb="FFFF0000"/>
      <family val="3"/>
      <sz val="11"/>
      <name val="ＭＳ Ｐゴシック"/>
    </font>
    <font>
      <b/>
      <color rgb="FFFF0000"/>
      <sz val="11"/>
      <name val="ＭＳ Ｐゴシック"/>
    </font>
    <font>
      <b/>
      <color rgb="FF0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32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5" fontId="11" fillId="0" borderId="37" xfId="0" applyNumberFormat="1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66" fontId="6" fillId="0" borderId="4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38" fontId="13" fillId="0" borderId="32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9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2" fillId="0" borderId="3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7" fontId="23" fillId="0" borderId="0" xfId="0" applyNumberFormat="1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32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4" fillId="0" borderId="10" xfId="0" applyFont="1" applyBorder="1"/>
    <xf numFmtId="0" fontId="23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1" fillId="0" borderId="32" xfId="0" applyFont="1" applyBorder="1"/>
    <xf numFmtId="0" fontId="21" fillId="0" borderId="3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167" fontId="23" fillId="0" borderId="0" xfId="0" applyNumberFormat="1" applyFont="1" applyAlignment="1">
      <alignment horizontal="left"/>
    </xf>
    <xf numFmtId="0" fontId="4" fillId="0" borderId="15" xfId="0" applyFont="1" applyBorder="1"/>
    <xf numFmtId="167" fontId="23" fillId="0" borderId="51" xfId="0" applyNumberFormat="1" applyFont="1" applyBorder="1"/>
    <xf numFmtId="0" fontId="22" fillId="0" borderId="51" xfId="0" applyFont="1" applyBorder="1" applyAlignment="1">
      <alignment horizontal="left"/>
    </xf>
    <xf numFmtId="0" fontId="23" fillId="0" borderId="51" xfId="0" applyFont="1" applyBorder="1"/>
    <xf numFmtId="0" fontId="21" fillId="0" borderId="16" xfId="0" applyFont="1" applyBorder="1" applyAlignment="1">
      <alignment horizontal="center"/>
    </xf>
    <xf numFmtId="0" fontId="1" fillId="0" borderId="0" xfId="0" applyFont="1"/>
    <xf numFmtId="0" fontId="21" fillId="0" borderId="32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wrapText="1"/>
    </xf>
    <xf numFmtId="168" fontId="25" fillId="0" borderId="1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3" fontId="25" fillId="0" borderId="12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1" fillId="0" borderId="32" xfId="0" applyFont="1" applyBorder="1"/>
    <xf numFmtId="0" fontId="21" fillId="0" borderId="31" xfId="0" applyFont="1" applyBorder="1"/>
    <xf numFmtId="0" fontId="21" fillId="0" borderId="0" xfId="0" applyFont="1"/>
    <xf numFmtId="0" fontId="1" fillId="0" borderId="31" xfId="0" applyFont="1" applyBorder="1"/>
    <xf numFmtId="0" fontId="1" fillId="0" borderId="0" xfId="0" applyFont="1" applyAlignment="1">
      <alignment horizontal="right"/>
    </xf>
    <xf numFmtId="0" fontId="21" fillId="0" borderId="50" xfId="0" applyFont="1" applyBorder="1"/>
    <xf numFmtId="0" fontId="21" fillId="0" borderId="27" xfId="0" applyFont="1" applyBorder="1"/>
    <xf numFmtId="0" fontId="21" fillId="0" borderId="46" xfId="0" applyFont="1" applyBorder="1"/>
    <xf numFmtId="0" fontId="1" fillId="0" borderId="10" xfId="0" applyFont="1" applyBorder="1"/>
    <xf numFmtId="0" fontId="21" fillId="0" borderId="10" xfId="0" applyFont="1" applyBorder="1" applyAlignment="1">
      <alignment horizontal="left"/>
    </xf>
    <xf numFmtId="0" fontId="1" fillId="0" borderId="15" xfId="0" applyFont="1" applyBorder="1"/>
    <xf numFmtId="0" fontId="1" fillId="0" borderId="51" xfId="0" applyFont="1" applyBorder="1"/>
    <xf numFmtId="0" fontId="21" fillId="0" borderId="51" xfId="0" applyFont="1" applyBorder="1" applyAlignment="1">
      <alignment horizontal="left"/>
    </xf>
    <xf numFmtId="0" fontId="2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workbookViewId="0" zoomScale="86" zoomScaleNormal="86">
      <selection activeCell="F3" sqref="F3"/>
    </sheetView>
  </sheetViews>
  <sheetFormatPr defaultRowHeight="13.2" outlineLevelRow="0" outlineLevelCol="0" x14ac:dyDescent="0" customHeight="1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ht="13.8" customHeight="1" x14ac:dyDescent="0.25"/>
    <row r="3" ht="40.2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7" t="s">
        <v>4</v>
      </c>
      <c r="I3" s="8" t="s">
        <v>5</v>
      </c>
      <c r="J3" s="9"/>
    </row>
    <row r="4" ht="13.8" customHeight="1" spans="2:10" x14ac:dyDescent="0.25">
      <c r="B4" s="10"/>
      <c r="C4" s="11"/>
      <c r="D4" s="12" t="s">
        <v>6</v>
      </c>
      <c r="E4" s="13"/>
      <c r="F4" s="14" t="s">
        <v>7</v>
      </c>
      <c r="G4" s="15" t="s">
        <v>8</v>
      </c>
      <c r="H4" s="13" t="s">
        <v>9</v>
      </c>
      <c r="I4" s="16"/>
      <c r="J4" s="17"/>
    </row>
    <row r="5" ht="27.6" customHeight="1" spans="2:10" x14ac:dyDescent="0.25">
      <c r="B5" s="18"/>
      <c r="C5" s="19"/>
      <c r="D5" s="12" t="s">
        <v>10</v>
      </c>
      <c r="E5" s="13"/>
      <c r="F5" s="20" t="s">
        <v>11</v>
      </c>
      <c r="G5" s="21" t="s">
        <v>12</v>
      </c>
      <c r="H5" s="22"/>
      <c r="I5" s="23" t="s">
        <v>13</v>
      </c>
      <c r="J5" s="24" t="s">
        <v>14</v>
      </c>
    </row>
    <row r="6" ht="18.6" customHeight="1" spans="2:10" x14ac:dyDescent="0.25">
      <c r="B6" s="25" t="s">
        <v>15</v>
      </c>
      <c r="C6" s="26"/>
      <c r="D6" s="27" t="s">
        <v>16</v>
      </c>
      <c r="E6" s="28">
        <v>100</v>
      </c>
      <c r="F6" s="29">
        <v>7888</v>
      </c>
      <c r="G6" s="30"/>
      <c r="H6" s="31"/>
      <c r="I6" s="32" t="s">
        <v>17</v>
      </c>
      <c r="J6" s="33" t="s">
        <v>18</v>
      </c>
    </row>
    <row r="7" ht="14.4" customHeight="1" spans="2:10" x14ac:dyDescent="0.25">
      <c r="B7" s="34" t="s">
        <v>19</v>
      </c>
      <c r="C7" s="35"/>
      <c r="D7" s="36" t="s">
        <v>20</v>
      </c>
      <c r="E7" s="36"/>
      <c r="F7" s="37">
        <v>45677</v>
      </c>
      <c r="G7" s="36"/>
      <c r="H7" s="36"/>
      <c r="J7" s="38"/>
    </row>
    <row r="8" ht="13.8" customHeight="1" spans="2:10" x14ac:dyDescent="0.25">
      <c r="B8" s="39" t="s">
        <v>21</v>
      </c>
      <c r="C8" s="40" t="s">
        <v>22</v>
      </c>
      <c r="D8" s="41" t="s">
        <v>23</v>
      </c>
      <c r="E8" s="42" t="s">
        <v>24</v>
      </c>
      <c r="F8" s="43" t="s">
        <v>25</v>
      </c>
      <c r="G8" s="36"/>
      <c r="H8" s="44" t="s">
        <v>26</v>
      </c>
      <c r="I8" s="45" t="s">
        <v>27</v>
      </c>
      <c r="J8" s="46" t="s">
        <v>28</v>
      </c>
    </row>
    <row r="9" ht="15.6" customHeight="1" spans="2:10" x14ac:dyDescent="0.25">
      <c r="B9" s="47">
        <v>1</v>
      </c>
      <c r="C9" s="48" t="s">
        <v>29</v>
      </c>
      <c r="D9" s="49"/>
      <c r="E9" s="50">
        <v>68.5</v>
      </c>
      <c r="F9" s="51">
        <f>(E9/100)*$F$6</f>
        <v>137</v>
      </c>
      <c r="G9" s="36" t="s">
        <v>30</v>
      </c>
      <c r="H9" s="52">
        <v>300</v>
      </c>
      <c r="I9" s="53">
        <f>E9*H9</f>
        <v>20550</v>
      </c>
      <c r="J9" s="54"/>
    </row>
    <row r="10" ht="15.6" customHeight="1" spans="2:10" x14ac:dyDescent="0.25">
      <c r="B10" s="47">
        <v>2</v>
      </c>
      <c r="C10" s="48" t="s">
        <v>31</v>
      </c>
      <c r="D10" s="49"/>
      <c r="E10" s="50">
        <v>16.1</v>
      </c>
      <c r="F10" s="51">
        <f>(E10/100)*$F$6</f>
        <v>32.2</v>
      </c>
      <c r="G10" s="36" t="s">
        <v>30</v>
      </c>
      <c r="H10" s="52">
        <v>18000</v>
      </c>
      <c r="I10" s="53">
        <f t="shared" ref="I10:I14" si="0">E10*H10</f>
        <v>289800</v>
      </c>
      <c r="J10" s="54"/>
    </row>
    <row r="11" ht="15.6" customHeight="1" spans="2:10" x14ac:dyDescent="0.25">
      <c r="B11" s="47">
        <v>3</v>
      </c>
      <c r="C11" s="48" t="s">
        <v>32</v>
      </c>
      <c r="D11" s="49"/>
      <c r="E11" s="50">
        <v>8</v>
      </c>
      <c r="F11" s="51">
        <f t="shared" ref="F11:F13" si="1">(E11/100)*$F$6</f>
        <v>16</v>
      </c>
      <c r="G11" s="36" t="s">
        <v>30</v>
      </c>
      <c r="H11" s="52">
        <v>22000</v>
      </c>
      <c r="I11" s="53">
        <f t="shared" si="0"/>
        <v>176000</v>
      </c>
      <c r="J11" s="54"/>
    </row>
    <row r="12" ht="15.6" customHeight="1" spans="2:10" x14ac:dyDescent="0.25">
      <c r="B12" s="47">
        <v>4</v>
      </c>
      <c r="C12" s="48" t="s">
        <v>33</v>
      </c>
      <c r="D12" s="49"/>
      <c r="E12" s="50">
        <v>6</v>
      </c>
      <c r="F12" s="51">
        <f t="shared" si="1"/>
        <v>12</v>
      </c>
      <c r="G12" s="36" t="s">
        <v>30</v>
      </c>
      <c r="H12" s="52">
        <v>265000</v>
      </c>
      <c r="I12" s="53">
        <f t="shared" si="0"/>
        <v>1590000</v>
      </c>
      <c r="J12" s="54"/>
    </row>
    <row r="13" ht="15.6" customHeight="1" spans="2:10" x14ac:dyDescent="0.25">
      <c r="B13" s="47">
        <v>5</v>
      </c>
      <c r="C13" s="55" t="s">
        <v>34</v>
      </c>
      <c r="D13" s="49"/>
      <c r="E13" s="56">
        <v>1.4</v>
      </c>
      <c r="F13" s="51">
        <f t="shared" si="1"/>
        <v>2.8</v>
      </c>
      <c r="G13" s="36" t="s">
        <v>30</v>
      </c>
      <c r="H13" s="57">
        <v>14500</v>
      </c>
      <c r="I13" s="53">
        <f t="shared" si="0"/>
        <v>20300</v>
      </c>
      <c r="J13" s="54" t="s">
        <v>35</v>
      </c>
    </row>
    <row r="14" ht="16.2" customHeight="1" spans="2:10" x14ac:dyDescent="0.25">
      <c r="B14" s="47"/>
      <c r="C14" s="58"/>
      <c r="D14" s="59">
        <v>1</v>
      </c>
      <c r="E14" s="60"/>
      <c r="F14" s="61"/>
      <c r="G14" s="62"/>
      <c r="H14" s="63">
        <v>55000</v>
      </c>
      <c r="I14" s="53">
        <f t="shared" si="0"/>
        <v>0</v>
      </c>
      <c r="J14" s="54"/>
    </row>
    <row r="15" ht="14.4" customHeight="1" spans="2:10" x14ac:dyDescent="0.25">
      <c r="B15" s="64"/>
      <c r="C15" s="36"/>
      <c r="D15" s="36"/>
      <c r="E15" s="65" t="s">
        <v>36</v>
      </c>
      <c r="F15" s="66">
        <f>SUM(F9:F14)</f>
        <v>200</v>
      </c>
      <c r="G15" s="35"/>
      <c r="H15" s="67"/>
      <c r="I15" s="68">
        <f>SUM(I9:I14)</f>
        <v>2096650</v>
      </c>
      <c r="J15" s="69">
        <f>I15/100</f>
        <v>20966.5</v>
      </c>
    </row>
    <row r="16" ht="15.6" customHeight="1" spans="2:10" x14ac:dyDescent="0.25">
      <c r="B16" s="70" t="s">
        <v>37</v>
      </c>
      <c r="C16" s="71"/>
      <c r="D16" s="71"/>
      <c r="E16" s="36"/>
      <c r="F16" s="72"/>
      <c r="G16" s="71"/>
      <c r="H16" s="71"/>
      <c r="I16" s="2"/>
      <c r="J16" s="73"/>
    </row>
    <row r="17" ht="13.8" customHeight="1" spans="2:10" x14ac:dyDescent="0.25">
      <c r="B17" s="64">
        <v>1</v>
      </c>
      <c r="C17" s="36" t="s">
        <v>38</v>
      </c>
      <c r="D17" s="36"/>
      <c r="E17" s="74"/>
      <c r="F17" s="36"/>
      <c r="G17" s="36"/>
      <c r="H17" s="36"/>
      <c r="J17" s="38"/>
    </row>
    <row r="18" ht="13.8" customHeight="1" spans="2:10" x14ac:dyDescent="0.25">
      <c r="B18" s="64">
        <v>2</v>
      </c>
      <c r="C18" s="36" t="s">
        <v>39</v>
      </c>
      <c r="D18" s="36"/>
      <c r="E18" s="36"/>
      <c r="F18" s="36" t="s">
        <v>40</v>
      </c>
      <c r="G18" s="36"/>
      <c r="H18" s="36" t="s">
        <v>40</v>
      </c>
      <c r="J18" s="38"/>
    </row>
    <row r="19" ht="13.8" customHeight="1" spans="2:10" x14ac:dyDescent="0.25">
      <c r="B19" s="64">
        <v>3</v>
      </c>
      <c r="C19" s="36" t="s">
        <v>41</v>
      </c>
      <c r="D19" s="36"/>
      <c r="E19" s="36"/>
      <c r="F19" s="36"/>
      <c r="G19" s="36"/>
      <c r="H19" s="36"/>
      <c r="J19" s="38"/>
    </row>
    <row r="20" ht="13.8" customHeight="1" spans="2:10" x14ac:dyDescent="0.25">
      <c r="B20" s="64">
        <v>4</v>
      </c>
      <c r="C20" s="36" t="s">
        <v>42</v>
      </c>
      <c r="D20" s="36"/>
      <c r="E20" s="36"/>
      <c r="F20" s="36"/>
      <c r="G20" s="36"/>
      <c r="H20" s="36"/>
      <c r="I20" s="36"/>
      <c r="J20" s="75"/>
    </row>
    <row r="21" ht="13.8" customHeight="1" spans="2:10" x14ac:dyDescent="0.25">
      <c r="B21" s="34" t="s">
        <v>43</v>
      </c>
      <c r="C21" s="36"/>
      <c r="D21" s="36"/>
      <c r="E21" s="36"/>
      <c r="F21" s="36"/>
      <c r="G21" s="36"/>
      <c r="H21" s="36"/>
      <c r="J21" s="38"/>
    </row>
    <row r="22" ht="13.8" customHeight="1" spans="2:13" x14ac:dyDescent="0.25">
      <c r="B22" s="64">
        <v>1</v>
      </c>
      <c r="C22" s="36" t="s">
        <v>44</v>
      </c>
      <c r="D22" s="36"/>
      <c r="E22" s="36"/>
      <c r="F22" s="36"/>
      <c r="G22" s="36"/>
      <c r="H22" s="36"/>
      <c r="J22" s="38"/>
      <c r="M22" t="s">
        <v>40</v>
      </c>
    </row>
    <row r="23" ht="15.75" customHeight="1" spans="2:10" x14ac:dyDescent="0.25">
      <c r="B23" s="76">
        <v>2</v>
      </c>
      <c r="C23" s="36" t="s">
        <v>45</v>
      </c>
      <c r="J23" s="38"/>
    </row>
    <row r="24" ht="13.8" customHeight="1" spans="2:10" x14ac:dyDescent="0.25">
      <c r="B24" s="64">
        <v>3</v>
      </c>
      <c r="C24" s="36" t="s">
        <v>46</v>
      </c>
      <c r="D24" s="36"/>
      <c r="E24" s="36"/>
      <c r="F24" s="36"/>
      <c r="G24" s="36"/>
      <c r="H24" s="36"/>
      <c r="J24" s="38"/>
    </row>
    <row r="25" ht="13.8" customHeight="1" spans="2:10" x14ac:dyDescent="0.25">
      <c r="B25" s="64">
        <v>4</v>
      </c>
      <c r="C25" s="36" t="s">
        <v>47</v>
      </c>
      <c r="D25" s="36"/>
      <c r="E25" s="36"/>
      <c r="F25" s="36"/>
      <c r="G25" s="36"/>
      <c r="H25" s="36"/>
      <c r="J25" s="38"/>
    </row>
    <row r="26" ht="13.8" customHeight="1" spans="2:10" x14ac:dyDescent="0.25">
      <c r="B26" s="64">
        <v>5</v>
      </c>
      <c r="C26" s="36" t="s">
        <v>48</v>
      </c>
      <c r="D26" s="36"/>
      <c r="E26" s="36"/>
      <c r="F26" s="36"/>
      <c r="G26" s="36" t="s">
        <v>40</v>
      </c>
      <c r="H26" s="36"/>
      <c r="J26" s="38"/>
    </row>
    <row r="27" ht="13.8" customHeight="1" spans="2:10" x14ac:dyDescent="0.25">
      <c r="B27" s="34" t="s">
        <v>49</v>
      </c>
      <c r="C27" s="36"/>
      <c r="D27" s="36"/>
      <c r="E27" s="36"/>
      <c r="F27" s="36"/>
      <c r="G27" s="36"/>
      <c r="H27" s="36"/>
      <c r="J27" s="38"/>
    </row>
    <row r="28" ht="13.8" customHeight="1" spans="2:10" x14ac:dyDescent="0.25">
      <c r="B28" s="64">
        <v>1</v>
      </c>
      <c r="C28" s="36" t="s">
        <v>50</v>
      </c>
      <c r="D28" s="36"/>
      <c r="E28" s="36"/>
      <c r="F28" s="36"/>
      <c r="G28" s="36"/>
      <c r="H28" s="36"/>
      <c r="J28" s="38"/>
    </row>
    <row r="29" ht="13.8" customHeight="1" spans="2:10" x14ac:dyDescent="0.25">
      <c r="B29" s="64">
        <v>2</v>
      </c>
      <c r="C29" s="36" t="s">
        <v>51</v>
      </c>
      <c r="D29" s="36"/>
      <c r="E29" s="36"/>
      <c r="F29" s="36"/>
      <c r="G29" s="36"/>
      <c r="H29" s="36"/>
      <c r="J29" s="38"/>
    </row>
    <row r="30" ht="13.8" customHeight="1" spans="2:10" x14ac:dyDescent="0.25">
      <c r="B30" s="64">
        <v>3</v>
      </c>
      <c r="C30" s="36" t="s">
        <v>52</v>
      </c>
      <c r="D30" s="36"/>
      <c r="E30" s="36"/>
      <c r="F30" s="36"/>
      <c r="G30" s="36"/>
      <c r="H30" s="36"/>
      <c r="J30" s="38"/>
    </row>
    <row r="31" ht="13.8" customHeight="1" spans="2:10" x14ac:dyDescent="0.25">
      <c r="B31" s="64">
        <v>4</v>
      </c>
      <c r="C31" s="36" t="s">
        <v>53</v>
      </c>
      <c r="D31" s="36"/>
      <c r="E31" s="36"/>
      <c r="F31" s="36"/>
      <c r="G31" s="36"/>
      <c r="H31" s="36"/>
      <c r="J31" s="38"/>
    </row>
    <row r="32" ht="13.8" customHeight="1" spans="2:10" x14ac:dyDescent="0.25">
      <c r="B32" s="64">
        <v>5</v>
      </c>
      <c r="C32" s="36" t="s">
        <v>54</v>
      </c>
      <c r="D32" s="36"/>
      <c r="E32" s="36"/>
      <c r="F32" s="36"/>
      <c r="G32" s="36"/>
      <c r="H32" s="36"/>
      <c r="J32" s="38"/>
    </row>
    <row r="33" ht="14.4" customHeight="1" spans="2:10" x14ac:dyDescent="0.25">
      <c r="B33" s="64">
        <v>6</v>
      </c>
      <c r="C33" s="77" t="s">
        <v>55</v>
      </c>
      <c r="D33" s="77"/>
      <c r="E33" s="77"/>
      <c r="F33" s="77"/>
      <c r="G33" s="77"/>
      <c r="H33" s="77"/>
      <c r="I33" s="78"/>
      <c r="J33" s="79"/>
    </row>
    <row r="34" ht="14.4" customHeight="1" spans="2:10" x14ac:dyDescent="0.25">
      <c r="B34" s="70" t="s">
        <v>56</v>
      </c>
      <c r="C34" s="71" t="s">
        <v>57</v>
      </c>
      <c r="D34" s="71"/>
      <c r="E34" s="71" t="s">
        <v>58</v>
      </c>
      <c r="F34" s="71"/>
      <c r="G34" s="71" t="s">
        <v>59</v>
      </c>
      <c r="H34" s="71"/>
      <c r="I34" s="2"/>
      <c r="J34" s="73"/>
    </row>
    <row r="35" ht="13.8" customHeight="1" spans="2:10" x14ac:dyDescent="0.25">
      <c r="B35" s="34"/>
      <c r="C35" s="13" t="s">
        <v>60</v>
      </c>
      <c r="D35" s="13" t="s">
        <v>61</v>
      </c>
      <c r="E35" s="13" t="s">
        <v>62</v>
      </c>
      <c r="F35" s="36"/>
      <c r="G35" s="3" t="s">
        <v>21</v>
      </c>
      <c r="H35" s="80" t="s">
        <v>22</v>
      </c>
      <c r="I35" s="81" t="s">
        <v>63</v>
      </c>
      <c r="J35" s="38"/>
    </row>
    <row r="36" ht="13.8" customHeight="1" spans="2:10" x14ac:dyDescent="0.25">
      <c r="B36" s="64">
        <v>1</v>
      </c>
      <c r="C36" s="13" t="s">
        <v>64</v>
      </c>
      <c r="D36" s="13" t="s">
        <v>65</v>
      </c>
      <c r="E36" s="13"/>
      <c r="F36" s="36"/>
      <c r="G36" s="82">
        <v>1</v>
      </c>
      <c r="H36" s="13" t="s">
        <v>31</v>
      </c>
      <c r="I36" s="24"/>
      <c r="J36" s="38"/>
    </row>
    <row r="37" ht="13.8" customHeight="1" spans="2:10" x14ac:dyDescent="0.25">
      <c r="B37" s="64">
        <v>2</v>
      </c>
      <c r="C37" s="13" t="s">
        <v>66</v>
      </c>
      <c r="D37" s="13" t="s">
        <v>67</v>
      </c>
      <c r="E37" s="13"/>
      <c r="F37" s="36"/>
      <c r="G37" s="82">
        <v>2</v>
      </c>
      <c r="H37" s="13" t="s">
        <v>32</v>
      </c>
      <c r="I37" s="24"/>
      <c r="J37" s="38"/>
    </row>
    <row r="38" ht="13.8" customHeight="1" spans="2:10" x14ac:dyDescent="0.25">
      <c r="B38" s="64">
        <v>3</v>
      </c>
      <c r="C38" s="13" t="s">
        <v>68</v>
      </c>
      <c r="D38" s="13" t="s">
        <v>69</v>
      </c>
      <c r="E38" s="13"/>
      <c r="F38" s="36"/>
      <c r="G38" s="82">
        <v>3</v>
      </c>
      <c r="H38" s="13" t="s">
        <v>33</v>
      </c>
      <c r="I38" s="24"/>
      <c r="J38" s="38"/>
    </row>
    <row r="39" ht="13.8" customHeight="1" spans="2:10" x14ac:dyDescent="0.25">
      <c r="B39" s="64">
        <v>4</v>
      </c>
      <c r="C39" s="13" t="s">
        <v>70</v>
      </c>
      <c r="D39" s="13"/>
      <c r="E39" s="13"/>
      <c r="F39" s="36"/>
      <c r="G39" s="83">
        <v>4</v>
      </c>
      <c r="H39" s="13" t="s">
        <v>34</v>
      </c>
      <c r="I39" s="84"/>
      <c r="J39" s="38"/>
    </row>
    <row r="40" ht="13.8" customHeight="1" spans="2:10" x14ac:dyDescent="0.25">
      <c r="B40" s="64">
        <v>5</v>
      </c>
      <c r="C40" s="85" t="s">
        <v>71</v>
      </c>
      <c r="D40" s="86" t="s">
        <v>72</v>
      </c>
      <c r="E40" s="87"/>
      <c r="F40" s="36"/>
      <c r="G40" s="82">
        <v>5</v>
      </c>
      <c r="H40" s="13"/>
      <c r="I40" s="24"/>
      <c r="J40" s="38"/>
    </row>
    <row r="41" ht="13.8" customHeight="1" spans="2:10" x14ac:dyDescent="0.25">
      <c r="B41" s="64">
        <v>6</v>
      </c>
      <c r="C41" s="85" t="s">
        <v>73</v>
      </c>
      <c r="D41" s="86"/>
      <c r="E41" s="87"/>
      <c r="F41" s="36"/>
      <c r="G41" s="83">
        <v>6</v>
      </c>
      <c r="H41" s="13"/>
      <c r="I41" s="84"/>
      <c r="J41" s="38"/>
    </row>
    <row r="42" ht="14.4" customHeight="1" spans="2:10" x14ac:dyDescent="0.25">
      <c r="B42" s="88"/>
      <c r="C42" s="89"/>
      <c r="D42" s="89"/>
      <c r="E42" s="89"/>
      <c r="F42" s="77"/>
      <c r="G42" s="90">
        <v>7</v>
      </c>
      <c r="H42" s="89"/>
      <c r="I42" s="33"/>
      <c r="J42" s="79"/>
    </row>
    <row r="43" ht="13.8" customHeight="1" spans="2:10" x14ac:dyDescent="0.25">
      <c r="B43" s="34" t="s">
        <v>74</v>
      </c>
      <c r="C43" s="36"/>
      <c r="D43" s="36"/>
      <c r="E43" s="36"/>
      <c r="F43" s="36"/>
      <c r="G43" s="36"/>
      <c r="H43" s="36"/>
      <c r="J43" s="38"/>
    </row>
    <row r="44" ht="14.4" customHeight="1" spans="2:10" x14ac:dyDescent="0.25">
      <c r="B44" s="64"/>
      <c r="C44" s="36" t="s">
        <v>75</v>
      </c>
      <c r="D44" s="91" t="s">
        <v>76</v>
      </c>
      <c r="E44" s="36" t="s">
        <v>77</v>
      </c>
      <c r="F44" s="91" t="s">
        <v>76</v>
      </c>
      <c r="G44" s="36"/>
      <c r="H44" s="36"/>
      <c r="J44" s="38"/>
    </row>
    <row r="45" ht="14.4" customHeight="1" spans="2:10" x14ac:dyDescent="0.25">
      <c r="B45" s="64"/>
      <c r="C45" s="36" t="s">
        <v>78</v>
      </c>
      <c r="D45" s="91" t="s">
        <v>76</v>
      </c>
      <c r="E45" s="36" t="s">
        <v>79</v>
      </c>
      <c r="F45" s="91" t="s">
        <v>80</v>
      </c>
      <c r="G45" s="36"/>
      <c r="H45" s="36"/>
      <c r="J45" s="38"/>
    </row>
    <row r="46" ht="14.4" customHeight="1" spans="2:10" x14ac:dyDescent="0.25">
      <c r="B46" s="64"/>
      <c r="C46" s="36" t="s">
        <v>81</v>
      </c>
      <c r="D46" s="91" t="s">
        <v>76</v>
      </c>
      <c r="E46" s="36"/>
      <c r="F46" s="36"/>
      <c r="G46" s="36"/>
      <c r="H46" s="36"/>
      <c r="J46" s="38"/>
    </row>
    <row r="47" ht="13.8" customHeight="1" spans="2:10" x14ac:dyDescent="0.25">
      <c r="B47" s="34" t="s">
        <v>82</v>
      </c>
      <c r="J47" s="38"/>
    </row>
    <row r="48" ht="14.4" customHeight="1" spans="2:10" x14ac:dyDescent="0.25">
      <c r="B48" s="88">
        <v>1</v>
      </c>
      <c r="C48" s="77" t="s">
        <v>83</v>
      </c>
      <c r="D48" s="78"/>
      <c r="E48" s="78"/>
      <c r="F48" s="78"/>
      <c r="G48" s="78"/>
      <c r="H48" s="78"/>
      <c r="I48" s="78"/>
      <c r="J48" s="79"/>
    </row>
    <row r="49" ht="13.8" customHeight="1" spans="2:10" x14ac:dyDescent="0.25">
      <c r="B49" s="70" t="s">
        <v>84</v>
      </c>
      <c r="C49" s="71"/>
      <c r="D49" s="2"/>
      <c r="E49" s="73"/>
      <c r="F49" s="70" t="s">
        <v>85</v>
      </c>
      <c r="G49" s="71"/>
      <c r="H49" s="2"/>
      <c r="I49" s="2"/>
      <c r="J49" s="73"/>
    </row>
    <row r="50" spans="2:10" x14ac:dyDescent="0.25">
      <c r="B50" s="92"/>
      <c r="E50" s="38"/>
      <c r="J50" s="38"/>
    </row>
    <row r="51" ht="13.8" customHeight="1" spans="2:10" x14ac:dyDescent="0.25">
      <c r="B51" s="92"/>
      <c r="C51" s="36"/>
      <c r="E51" s="38"/>
      <c r="G51" s="36" t="s">
        <v>86</v>
      </c>
      <c r="J51" s="38"/>
    </row>
    <row r="52" ht="13.8" customHeight="1" spans="2:10" x14ac:dyDescent="0.25">
      <c r="B52" s="92"/>
      <c r="C52" s="36"/>
      <c r="E52" s="38"/>
      <c r="G52" s="36" t="s">
        <v>87</v>
      </c>
      <c r="J52" s="38"/>
    </row>
    <row r="53" ht="14.4" customHeight="1" spans="2:10" x14ac:dyDescent="0.25">
      <c r="B53" s="92"/>
      <c r="C53" s="36"/>
      <c r="E53" s="38"/>
      <c r="G53" s="36"/>
      <c r="J53" s="38"/>
    </row>
    <row r="54" ht="13.8" customHeight="1" spans="2:10" x14ac:dyDescent="0.25">
      <c r="B54" s="93" t="s">
        <v>88</v>
      </c>
      <c r="C54" s="94"/>
      <c r="D54" s="94" t="s">
        <v>89</v>
      </c>
      <c r="E54" s="94"/>
      <c r="F54" s="95" t="s">
        <v>90</v>
      </c>
      <c r="G54" s="2"/>
      <c r="H54" s="2"/>
      <c r="I54" s="94" t="s">
        <v>91</v>
      </c>
      <c r="J54" s="73"/>
    </row>
    <row r="55" spans="2:10" x14ac:dyDescent="0.25">
      <c r="B55" s="92"/>
      <c r="J55" s="38"/>
    </row>
    <row r="56" ht="13.8" customHeight="1" spans="2:10" x14ac:dyDescent="0.25">
      <c r="B56" s="96" t="s">
        <v>92</v>
      </c>
      <c r="C56" s="78"/>
      <c r="D56" s="78" t="s">
        <v>93</v>
      </c>
      <c r="E56" s="78"/>
      <c r="F56" s="97" t="s">
        <v>94</v>
      </c>
      <c r="G56" s="78"/>
      <c r="H56" s="78"/>
      <c r="I56" s="78" t="s">
        <v>93</v>
      </c>
      <c r="J56" s="79"/>
    </row>
  </sheetData>
  <mergeCells count="9">
    <mergeCell ref="I3:J4"/>
    <mergeCell ref="B3:B5"/>
    <mergeCell ref="D4:E4"/>
    <mergeCell ref="C4:C5"/>
    <mergeCell ref="D5:E5"/>
    <mergeCell ref="G5:H5"/>
    <mergeCell ref="B6:C6"/>
    <mergeCell ref="G6:H6"/>
    <mergeCell ref="C20:J20"/>
  </mergeCells>
  <pageMargins left="0.5118110236220472" right="0.31496062992125984" top="0.6692913385826772" bottom="0.6299212598425197" header="0.5118110236220472" footer="0.3937007874015748"/>
  <pageSetup paperSize="9" orientation="portrait" horizontalDpi="4294967293" verticalDpi="200" scale="80" fitToWidth="1" fitToHeight="1" firstPageNumber="1" useFirstPageNumber="1" copies="1"/>
  <headerFooter>
    <oddFooter>&amp;Z&amp;F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I8" sqref="I8"/>
    </sheetView>
  </sheetViews>
  <sheetFormatPr defaultRowHeight="13.2" outlineLevelRow="0" outlineLevelCol="0" x14ac:dyDescent="0" defaultColWidth="16.21875" customHeight="1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ht="21" customHeight="1" spans="1:8" x14ac:dyDescent="0.25">
      <c r="A1" s="98" t="s">
        <v>95</v>
      </c>
      <c r="B1" s="99"/>
      <c r="C1" s="99"/>
      <c r="D1" s="99"/>
      <c r="E1" s="99"/>
      <c r="F1" s="99"/>
      <c r="G1" s="99"/>
      <c r="H1" s="100"/>
    </row>
    <row r="2" ht="21" customHeight="1" spans="1:8" x14ac:dyDescent="0.25">
      <c r="A2" s="101"/>
      <c r="B2" s="102"/>
      <c r="C2" s="102"/>
      <c r="D2" s="102"/>
      <c r="E2" s="102"/>
      <c r="F2" s="102"/>
      <c r="G2" s="102"/>
      <c r="H2" s="103"/>
    </row>
    <row r="3" ht="14.4" customHeight="1" spans="1:8" x14ac:dyDescent="0.25">
      <c r="A3" s="104"/>
      <c r="B3" s="105"/>
      <c r="C3" s="105"/>
      <c r="D3" s="106" t="s">
        <v>96</v>
      </c>
      <c r="E3" s="107"/>
      <c r="F3" s="108"/>
      <c r="G3" s="108"/>
      <c r="H3" s="109"/>
    </row>
    <row r="4" ht="40.2" customHeight="1" spans="1:8" x14ac:dyDescent="0.25">
      <c r="A4" s="110" t="s">
        <v>97</v>
      </c>
      <c r="B4" s="111" t="s">
        <v>98</v>
      </c>
      <c r="C4" s="112">
        <f>'BG_ChemX 119266 A'!F7</f>
        <v>45677</v>
      </c>
      <c r="D4" s="113" t="s">
        <v>99</v>
      </c>
      <c r="E4" s="114" t="str">
        <f>'BG_ChemX 119266 A'!F5</f>
        <v>ITS - 428Wn/ITS-PO/I/2025</v>
      </c>
      <c r="F4" s="115" t="s">
        <v>100</v>
      </c>
      <c r="G4" s="116" t="str">
        <f>'BG_ChemX 119266 A'!F3</f>
        <v>ChemX 119266 A</v>
      </c>
      <c r="H4" s="117"/>
    </row>
    <row r="5" ht="14.4" customHeight="1" spans="1:8" x14ac:dyDescent="0.25">
      <c r="A5" s="118" t="s">
        <v>101</v>
      </c>
      <c r="B5" s="119" t="s">
        <v>98</v>
      </c>
      <c r="C5" s="120" t="s">
        <v>91</v>
      </c>
      <c r="D5" s="121" t="s">
        <v>102</v>
      </c>
      <c r="E5" s="122"/>
      <c r="F5" s="123" t="s">
        <v>103</v>
      </c>
      <c r="G5" s="120">
        <f>'BG_ChemX 119266 A'!F6</f>
        <v>200</v>
      </c>
      <c r="H5" s="124"/>
    </row>
    <row r="6" ht="14.4" customHeight="1" spans="1:8" x14ac:dyDescent="0.25">
      <c r="A6" s="125"/>
      <c r="B6" s="119"/>
      <c r="C6" s="105"/>
      <c r="D6" s="126" t="s">
        <v>104</v>
      </c>
      <c r="E6" s="127"/>
      <c r="F6" s="123" t="s">
        <v>105</v>
      </c>
      <c r="G6" s="120" t="s">
        <v>106</v>
      </c>
      <c r="H6" s="124"/>
    </row>
    <row r="7" ht="14.4" customHeight="1" spans="1:8" x14ac:dyDescent="0.25">
      <c r="A7" s="104"/>
      <c r="B7" s="105"/>
      <c r="C7" s="105"/>
      <c r="D7" s="128" t="s">
        <v>107</v>
      </c>
      <c r="E7" s="129"/>
      <c r="F7" s="130" t="s">
        <v>108</v>
      </c>
      <c r="G7" s="131">
        <v>20</v>
      </c>
      <c r="H7" s="132" t="s">
        <v>109</v>
      </c>
    </row>
    <row r="8" ht="14.4" customHeight="1" spans="1:8" x14ac:dyDescent="0.25">
      <c r="A8" s="104"/>
      <c r="B8" s="105"/>
      <c r="C8" s="105"/>
      <c r="D8" s="133"/>
      <c r="E8" s="133"/>
      <c r="F8" s="105"/>
      <c r="G8" s="105"/>
      <c r="H8" s="134"/>
    </row>
    <row r="9" ht="27.6" customHeight="1" spans="1:8" x14ac:dyDescent="0.25">
      <c r="A9" s="135" t="s">
        <v>110</v>
      </c>
      <c r="B9" s="136" t="s">
        <v>111</v>
      </c>
      <c r="C9" s="136"/>
      <c r="D9" s="136" t="s">
        <v>112</v>
      </c>
      <c r="E9" s="136"/>
      <c r="F9" s="136" t="s">
        <v>113</v>
      </c>
      <c r="G9" s="136"/>
      <c r="H9" s="137" t="s">
        <v>114</v>
      </c>
    </row>
    <row r="10" ht="14.4" customHeight="1" spans="1:8" x14ac:dyDescent="0.25">
      <c r="A10" s="138">
        <v>1</v>
      </c>
      <c r="B10" s="136" t="str">
        <f>'BG_ChemX 119266 A'!C9</f>
        <v>Air</v>
      </c>
      <c r="C10" s="136"/>
      <c r="D10" s="136"/>
      <c r="E10" s="136"/>
      <c r="F10" s="139">
        <f>'BG_ChemX 119266 A'!F9</f>
        <v>137</v>
      </c>
      <c r="G10" s="139"/>
      <c r="H10" s="140" t="s">
        <v>30</v>
      </c>
    </row>
    <row r="11" ht="14.4" customHeight="1" spans="1:8" x14ac:dyDescent="0.25">
      <c r="A11" s="138">
        <v>2</v>
      </c>
      <c r="B11" s="136" t="str">
        <f>'BG_ChemX 119266 A'!C10</f>
        <v>PA 139</v>
      </c>
      <c r="C11" s="136"/>
      <c r="D11" s="136"/>
      <c r="E11" s="136"/>
      <c r="F11" s="139">
        <f>'BG_ChemX 119266 A'!F10</f>
        <v>32.2</v>
      </c>
      <c r="G11" s="139"/>
      <c r="H11" s="140" t="s">
        <v>30</v>
      </c>
    </row>
    <row r="12" ht="14.4" customHeight="1" spans="1:8" x14ac:dyDescent="0.25">
      <c r="A12" s="138">
        <v>3</v>
      </c>
      <c r="B12" s="136" t="str">
        <f>'BG_ChemX 119266 A'!C11</f>
        <v>CF 091</v>
      </c>
      <c r="C12" s="136"/>
      <c r="D12" s="136"/>
      <c r="E12" s="136"/>
      <c r="F12" s="139">
        <f>'BG_ChemX 119266 A'!F11</f>
        <v>16</v>
      </c>
      <c r="G12" s="139"/>
      <c r="H12" s="140" t="s">
        <v>30</v>
      </c>
    </row>
    <row r="13" ht="14.4" customHeight="1" spans="1:8" x14ac:dyDescent="0.25">
      <c r="A13" s="138">
        <v>4</v>
      </c>
      <c r="B13" s="136" t="str">
        <f>'BG_ChemX 119266 A'!C12</f>
        <v>HE 140</v>
      </c>
      <c r="C13" s="136"/>
      <c r="D13" s="136"/>
      <c r="E13" s="136"/>
      <c r="F13" s="139">
        <f>'BG_ChemX 119266 A'!F12</f>
        <v>12</v>
      </c>
      <c r="G13" s="139"/>
      <c r="H13" s="140" t="s">
        <v>30</v>
      </c>
    </row>
    <row r="14" ht="14.4" customHeight="1" spans="1:8" x14ac:dyDescent="0.25">
      <c r="A14" s="138">
        <v>5</v>
      </c>
      <c r="B14" s="136" t="str">
        <f>'BG_ChemX 119266 A'!C13</f>
        <v>TT 092</v>
      </c>
      <c r="C14" s="136"/>
      <c r="D14" s="136"/>
      <c r="E14" s="136"/>
      <c r="F14" s="139">
        <f>'BG_ChemX 119266 A'!F13</f>
        <v>2.8</v>
      </c>
      <c r="G14" s="139"/>
      <c r="H14" s="140" t="s">
        <v>30</v>
      </c>
    </row>
    <row r="15" ht="14.4" customHeight="1" spans="1:8" x14ac:dyDescent="0.25">
      <c r="A15" s="138">
        <v>6</v>
      </c>
      <c r="B15" s="136" t="s">
        <v>105</v>
      </c>
      <c r="C15" s="136"/>
      <c r="D15" s="136" t="str">
        <f>G6</f>
        <v>Jerigen Putih susu </v>
      </c>
      <c r="E15" s="136"/>
      <c r="F15" s="141">
        <f>G5/G7</f>
        <v>10</v>
      </c>
      <c r="G15" s="141"/>
      <c r="H15" s="140" t="s">
        <v>115</v>
      </c>
    </row>
    <row r="16" ht="14.4" customHeight="1" spans="1:8" x14ac:dyDescent="0.25">
      <c r="A16" s="142"/>
      <c r="B16" s="143"/>
      <c r="C16" s="143"/>
      <c r="D16" s="143"/>
      <c r="E16" s="143"/>
      <c r="F16" s="143"/>
      <c r="G16" s="143"/>
      <c r="H16" s="144"/>
    </row>
    <row r="17" ht="14.4" customHeight="1" spans="1:8" x14ac:dyDescent="0.25">
      <c r="A17" s="145" t="s">
        <v>91</v>
      </c>
      <c r="B17" s="146"/>
      <c r="C17" s="146"/>
      <c r="D17" s="146"/>
      <c r="E17" s="146" t="s">
        <v>116</v>
      </c>
      <c r="F17" s="105"/>
      <c r="G17" s="133"/>
      <c r="H17" s="144"/>
    </row>
    <row r="18" spans="1:8" x14ac:dyDescent="0.25">
      <c r="A18" s="147"/>
      <c r="B18" s="133"/>
      <c r="C18" s="133"/>
      <c r="D18" s="133"/>
      <c r="E18" s="133"/>
      <c r="F18" s="133"/>
      <c r="G18" s="133"/>
      <c r="H18" s="124"/>
    </row>
    <row r="19" ht="14.4" customHeight="1" spans="1:8" x14ac:dyDescent="0.25">
      <c r="A19" s="145"/>
      <c r="B19" s="146"/>
      <c r="C19" s="133"/>
      <c r="D19" s="133"/>
      <c r="E19" s="133"/>
      <c r="F19" s="133"/>
      <c r="G19" s="133"/>
      <c r="H19" s="124"/>
    </row>
    <row r="20" ht="14.4" customHeight="1" spans="1:8" x14ac:dyDescent="0.25">
      <c r="A20" s="145" t="s">
        <v>117</v>
      </c>
      <c r="B20" s="146"/>
      <c r="C20" s="148" t="s">
        <v>118</v>
      </c>
      <c r="D20" s="133"/>
      <c r="E20" s="133" t="s">
        <v>117</v>
      </c>
      <c r="F20" s="148" t="s">
        <v>118</v>
      </c>
      <c r="G20" s="133"/>
      <c r="H20" s="124"/>
    </row>
    <row r="21" ht="15" customHeight="1" spans="1:8" x14ac:dyDescent="0.25">
      <c r="A21" s="149"/>
      <c r="B21" s="150"/>
      <c r="C21" s="150"/>
      <c r="D21" s="150"/>
      <c r="E21" s="150"/>
      <c r="F21" s="150"/>
      <c r="G21" s="150"/>
      <c r="H21" s="151"/>
    </row>
    <row r="22" spans="1:8" x14ac:dyDescent="0.25">
      <c r="A22" s="147"/>
      <c r="B22" s="133"/>
      <c r="C22" s="133"/>
      <c r="D22" s="133"/>
      <c r="E22" s="133"/>
      <c r="F22" s="133"/>
      <c r="G22" s="133"/>
      <c r="H22" s="133"/>
    </row>
    <row r="23" ht="21" customHeight="1" hidden="1" spans="1:8" x14ac:dyDescent="0.25">
      <c r="A23" s="98" t="s">
        <v>95</v>
      </c>
      <c r="B23" s="99"/>
      <c r="C23" s="99"/>
      <c r="D23" s="99"/>
      <c r="E23" s="99"/>
      <c r="F23" s="99"/>
      <c r="G23" s="99"/>
      <c r="H23" s="100"/>
    </row>
    <row r="24" ht="21" customHeight="1" hidden="1" spans="1:8" x14ac:dyDescent="0.25">
      <c r="A24" s="101"/>
      <c r="B24" s="102"/>
      <c r="C24" s="102"/>
      <c r="D24" s="102"/>
      <c r="E24" s="102"/>
      <c r="F24" s="102"/>
      <c r="G24" s="102"/>
      <c r="H24" s="103"/>
    </row>
    <row r="25" ht="14.4" customHeight="1" hidden="1" spans="1:8" x14ac:dyDescent="0.25">
      <c r="A25" s="104"/>
      <c r="B25" s="105"/>
      <c r="C25" s="105"/>
      <c r="D25" s="106" t="s">
        <v>96</v>
      </c>
      <c r="E25" s="107"/>
      <c r="F25" s="108"/>
      <c r="G25" s="108"/>
      <c r="H25" s="109"/>
    </row>
    <row r="26" ht="14.4" customHeight="1" hidden="1" spans="1:8" x14ac:dyDescent="0.25">
      <c r="A26" s="125" t="s">
        <v>97</v>
      </c>
      <c r="B26" s="119" t="s">
        <v>98</v>
      </c>
      <c r="C26" s="133"/>
      <c r="D26" s="152" t="s">
        <v>99</v>
      </c>
      <c r="E26" s="133" t="s">
        <v>98</v>
      </c>
      <c r="F26" s="146" t="s">
        <v>100</v>
      </c>
      <c r="G26" s="133" t="s">
        <v>98</v>
      </c>
      <c r="H26" s="124"/>
    </row>
    <row r="27" ht="14.4" customHeight="1" hidden="1" spans="1:8" x14ac:dyDescent="0.25">
      <c r="A27" s="125" t="s">
        <v>101</v>
      </c>
      <c r="B27" s="119" t="s">
        <v>98</v>
      </c>
      <c r="C27" s="133"/>
      <c r="D27" s="152" t="s">
        <v>102</v>
      </c>
      <c r="E27" s="133" t="s">
        <v>98</v>
      </c>
      <c r="F27" s="119" t="s">
        <v>103</v>
      </c>
      <c r="G27" s="133" t="s">
        <v>98</v>
      </c>
      <c r="H27" s="124"/>
    </row>
    <row r="28" ht="14.4" customHeight="1" hidden="1" spans="1:8" x14ac:dyDescent="0.25">
      <c r="A28" s="125"/>
      <c r="B28" s="119"/>
      <c r="C28" s="105"/>
      <c r="D28" s="153" t="s">
        <v>104</v>
      </c>
      <c r="E28" s="133" t="s">
        <v>98</v>
      </c>
      <c r="F28" s="119" t="s">
        <v>105</v>
      </c>
      <c r="G28" s="133" t="s">
        <v>98</v>
      </c>
      <c r="H28" s="124"/>
    </row>
    <row r="29" ht="14.4" customHeight="1" hidden="1" spans="1:8" x14ac:dyDescent="0.25">
      <c r="A29" s="104"/>
      <c r="B29" s="105"/>
      <c r="C29" s="105"/>
      <c r="D29" s="154" t="s">
        <v>107</v>
      </c>
      <c r="E29" s="155" t="s">
        <v>98</v>
      </c>
      <c r="F29" s="156" t="s">
        <v>108</v>
      </c>
      <c r="G29" s="156" t="s">
        <v>98</v>
      </c>
      <c r="H29" s="132"/>
    </row>
    <row r="30" ht="14.4" customHeight="1" hidden="1" spans="1:8" x14ac:dyDescent="0.25">
      <c r="A30" s="104"/>
      <c r="B30" s="105"/>
      <c r="C30" s="105"/>
      <c r="D30" s="133"/>
      <c r="E30" s="133"/>
      <c r="F30" s="105"/>
      <c r="G30" s="105"/>
      <c r="H30" s="134"/>
    </row>
    <row r="31" ht="27.6" customHeight="1" hidden="1" spans="1:8" x14ac:dyDescent="0.25">
      <c r="A31" s="135" t="s">
        <v>110</v>
      </c>
      <c r="B31" s="136" t="s">
        <v>111</v>
      </c>
      <c r="C31" s="136"/>
      <c r="D31" s="136" t="s">
        <v>112</v>
      </c>
      <c r="E31" s="136"/>
      <c r="F31" s="136" t="s">
        <v>113</v>
      </c>
      <c r="G31" s="136"/>
      <c r="H31" s="137" t="s">
        <v>119</v>
      </c>
    </row>
    <row r="32" ht="14.4" customHeight="1" hidden="1" spans="1:8" x14ac:dyDescent="0.25">
      <c r="A32" s="138">
        <v>1</v>
      </c>
      <c r="B32" s="136"/>
      <c r="C32" s="136"/>
      <c r="D32" s="136"/>
      <c r="E32" s="136"/>
      <c r="F32" s="136"/>
      <c r="G32" s="136"/>
      <c r="H32" s="140"/>
    </row>
    <row r="33" ht="14.4" customHeight="1" hidden="1" spans="1:8" x14ac:dyDescent="0.25">
      <c r="A33" s="138">
        <v>2</v>
      </c>
      <c r="B33" s="136"/>
      <c r="C33" s="136"/>
      <c r="D33" s="136"/>
      <c r="E33" s="136"/>
      <c r="F33" s="136"/>
      <c r="G33" s="136"/>
      <c r="H33" s="140"/>
    </row>
    <row r="34" ht="14.4" customHeight="1" hidden="1" spans="1:8" x14ac:dyDescent="0.25">
      <c r="A34" s="138">
        <v>3</v>
      </c>
      <c r="B34" s="136"/>
      <c r="C34" s="136"/>
      <c r="D34" s="136"/>
      <c r="E34" s="136"/>
      <c r="F34" s="136"/>
      <c r="G34" s="136"/>
      <c r="H34" s="140"/>
    </row>
    <row r="35" ht="14.4" customHeight="1" hidden="1" spans="1:8" x14ac:dyDescent="0.25">
      <c r="A35" s="138">
        <v>4</v>
      </c>
      <c r="B35" s="136"/>
      <c r="C35" s="136"/>
      <c r="D35" s="136"/>
      <c r="E35" s="136"/>
      <c r="F35" s="136"/>
      <c r="G35" s="136"/>
      <c r="H35" s="140"/>
    </row>
    <row r="36" ht="14.4" customHeight="1" hidden="1" spans="1:8" x14ac:dyDescent="0.25">
      <c r="A36" s="138">
        <v>5</v>
      </c>
      <c r="B36" s="136"/>
      <c r="C36" s="136"/>
      <c r="D36" s="136"/>
      <c r="E36" s="136"/>
      <c r="F36" s="136"/>
      <c r="G36" s="136"/>
      <c r="H36" s="140"/>
    </row>
    <row r="37" ht="14.4" customHeight="1" hidden="1" spans="1:8" x14ac:dyDescent="0.25">
      <c r="A37" s="138">
        <v>6</v>
      </c>
      <c r="B37" s="136"/>
      <c r="C37" s="136"/>
      <c r="D37" s="136"/>
      <c r="E37" s="136"/>
      <c r="F37" s="136"/>
      <c r="G37" s="136"/>
      <c r="H37" s="140"/>
    </row>
    <row r="38" ht="14.4" customHeight="1" hidden="1" spans="1:8" x14ac:dyDescent="0.25">
      <c r="A38" s="138">
        <v>7</v>
      </c>
      <c r="B38" s="136"/>
      <c r="C38" s="136"/>
      <c r="D38" s="136"/>
      <c r="E38" s="136"/>
      <c r="F38" s="136"/>
      <c r="G38" s="136"/>
      <c r="H38" s="140"/>
    </row>
    <row r="39" ht="14.4" customHeight="1" hidden="1" spans="1:8" x14ac:dyDescent="0.25">
      <c r="A39" s="138">
        <v>8</v>
      </c>
      <c r="B39" s="136"/>
      <c r="C39" s="136"/>
      <c r="D39" s="136"/>
      <c r="E39" s="136"/>
      <c r="F39" s="136"/>
      <c r="G39" s="136"/>
      <c r="H39" s="140"/>
    </row>
    <row r="40" ht="14.4" customHeight="1" hidden="1" spans="1:8" x14ac:dyDescent="0.25">
      <c r="A40" s="138">
        <v>9</v>
      </c>
      <c r="B40" s="136"/>
      <c r="C40" s="136"/>
      <c r="D40" s="136"/>
      <c r="E40" s="136"/>
      <c r="F40" s="136"/>
      <c r="G40" s="136"/>
      <c r="H40" s="140"/>
    </row>
    <row r="41" ht="14.4" customHeight="1" hidden="1" spans="1:8" x14ac:dyDescent="0.25">
      <c r="A41" s="138">
        <v>10</v>
      </c>
      <c r="B41" s="136"/>
      <c r="C41" s="136"/>
      <c r="D41" s="136"/>
      <c r="E41" s="136"/>
      <c r="F41" s="136"/>
      <c r="G41" s="136"/>
      <c r="H41" s="157"/>
    </row>
    <row r="42" ht="14.4" customHeight="1" hidden="1" spans="1:8" x14ac:dyDescent="0.25">
      <c r="A42" s="142"/>
      <c r="B42" s="143"/>
      <c r="C42" s="143"/>
      <c r="D42" s="143"/>
      <c r="E42" s="143"/>
      <c r="F42" s="143"/>
      <c r="G42" s="143"/>
      <c r="H42" s="144"/>
    </row>
    <row r="43" ht="14.4" customHeight="1" hidden="1" spans="1:8" x14ac:dyDescent="0.25">
      <c r="A43" s="145" t="s">
        <v>91</v>
      </c>
      <c r="B43" s="146"/>
      <c r="C43" s="146"/>
      <c r="D43" s="146"/>
      <c r="E43" s="146" t="s">
        <v>116</v>
      </c>
      <c r="F43" s="105"/>
      <c r="G43" s="133"/>
      <c r="H43" s="144"/>
    </row>
    <row r="44" hidden="1" spans="1:8" x14ac:dyDescent="0.25">
      <c r="A44" s="147"/>
      <c r="B44" s="133"/>
      <c r="C44" s="133"/>
      <c r="D44" s="133"/>
      <c r="E44" s="133"/>
      <c r="F44" s="133"/>
      <c r="G44" s="133"/>
      <c r="H44" s="124"/>
    </row>
    <row r="45" ht="14.4" customHeight="1" hidden="1" spans="1:8" x14ac:dyDescent="0.25">
      <c r="A45" s="145"/>
      <c r="B45" s="146"/>
      <c r="C45" s="133"/>
      <c r="D45" s="133"/>
      <c r="E45" s="133"/>
      <c r="F45" s="133"/>
      <c r="G45" s="133"/>
      <c r="H45" s="124"/>
    </row>
    <row r="46" ht="14.4" customHeight="1" hidden="1" spans="1:8" x14ac:dyDescent="0.25">
      <c r="A46" s="145" t="s">
        <v>117</v>
      </c>
      <c r="B46" s="146"/>
      <c r="C46" s="148" t="s">
        <v>118</v>
      </c>
      <c r="D46" s="133"/>
      <c r="E46" s="133" t="s">
        <v>117</v>
      </c>
      <c r="F46" s="148" t="s">
        <v>118</v>
      </c>
      <c r="G46" s="133"/>
      <c r="H46" s="124"/>
    </row>
    <row r="47" ht="15" customHeight="1" hidden="1" spans="1:8" x14ac:dyDescent="0.25">
      <c r="A47" s="149"/>
      <c r="B47" s="150"/>
      <c r="C47" s="150"/>
      <c r="D47" s="150"/>
      <c r="E47" s="150"/>
      <c r="F47" s="150"/>
      <c r="G47" s="150"/>
      <c r="H47" s="151"/>
    </row>
  </sheetData>
  <mergeCells count="63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" right="0.7086614173228347" top="0.7480314960629921" bottom="0.7480314960629921" header="0.31496062992125984" footer="0.31496062992125984"/>
  <pageSetup orientation="portrait" horizontalDpi="360" verticalDpi="360" scale="9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BG_ChemX 119266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