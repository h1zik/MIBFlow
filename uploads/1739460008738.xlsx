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<sst xmlns="http://schemas.openxmlformats.org/spreadsheetml/2006/main" count="180" uniqueCount="119">
  <si>
    <t>Tanggal produksi</t>
  </si>
  <si>
    <t>Nama Produk</t>
  </si>
  <si>
    <t>ChemX 119266 A</t>
  </si>
  <si>
    <t>Batch No.</t>
  </si>
  <si>
    <t>13.02.25.TANK 2-01</t>
  </si>
  <si>
    <t>BLENDING GUIDE &amp; SPKP</t>
  </si>
  <si>
    <t>No Resep</t>
  </si>
  <si>
    <t>002/BG/MIB/II-24</t>
  </si>
  <si>
    <t>Tank No.</t>
  </si>
  <si>
    <t>TANK 2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</si>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</sst>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/>
      <c r="F6" s="29">
        <v>100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76</v>
      </c>
      <c r="G45" s="36"/>
      <c r="H45" s="36"/>
      <c r="J45" s="38"/>
    </row>
    <row r="46" ht="14.4" customHeight="1" spans="2:10" x14ac:dyDescent="0.25">
      <c r="B46" s="64"/>
      <c r="C46" s="36" t="s">
        <v>80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81</v>
      </c>
      <c r="J47" s="38"/>
    </row>
    <row r="48" ht="14.4" customHeight="1" spans="2:10" x14ac:dyDescent="0.25">
      <c r="B48" s="88">
        <v>1</v>
      </c>
      <c r="C48" s="77" t="s">
        <v>82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83</v>
      </c>
      <c r="C49" s="71"/>
      <c r="D49" s="2"/>
      <c r="E49" s="73"/>
      <c r="F49" s="70" t="s">
        <v>84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85</v>
      </c>
      <c r="J51" s="38"/>
    </row>
    <row r="52" ht="13.8" customHeight="1" spans="2:10" x14ac:dyDescent="0.25">
      <c r="B52" s="92"/>
      <c r="C52" s="36"/>
      <c r="E52" s="38"/>
      <c r="G52" s="36" t="s">
        <v>86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87</v>
      </c>
      <c r="C54" s="94"/>
      <c r="D54" s="94" t="s">
        <v>88</v>
      </c>
      <c r="E54" s="94"/>
      <c r="F54" s="95" t="s">
        <v>89</v>
      </c>
      <c r="G54" s="2"/>
      <c r="H54" s="2"/>
      <c r="I54" s="94" t="s">
        <v>90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91</v>
      </c>
      <c r="C56" s="78"/>
      <c r="D56" s="78" t="s">
        <v>92</v>
      </c>
      <c r="E56" s="78"/>
      <c r="F56" s="97" t="s">
        <v>93</v>
      </c>
      <c r="G56" s="78"/>
      <c r="H56" s="78"/>
      <c r="I56" s="78" t="s">
        <v>92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94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95</v>
      </c>
      <c r="E3" s="107"/>
      <c r="F3" s="108"/>
      <c r="G3" s="108"/>
      <c r="H3" s="109"/>
    </row>
    <row r="4" ht="40.2" customHeight="1" spans="1:8" x14ac:dyDescent="0.25">
      <c r="A4" s="110" t="s">
        <v>96</v>
      </c>
      <c r="B4" s="111" t="s">
        <v>97</v>
      </c>
      <c r="C4" s="112">
        <f>'BG_ChemX 119266 A'!F7</f>
        <v>45677</v>
      </c>
      <c r="D4" s="113" t="s">
        <v>98</v>
      </c>
      <c r="E4" s="114" t="str">
        <f>'BG_ChemX 119266 A'!F5</f>
        <v>ITS - 428Wn/ITS-PO/I/2025</v>
      </c>
      <c r="F4" s="115" t="s">
        <v>99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100</v>
      </c>
      <c r="B5" s="119" t="s">
        <v>97</v>
      </c>
      <c r="C5" s="120" t="s">
        <v>90</v>
      </c>
      <c r="D5" s="121" t="s">
        <v>101</v>
      </c>
      <c r="E5" s="122"/>
      <c r="F5" s="123" t="s">
        <v>102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103</v>
      </c>
      <c r="E6" s="127"/>
      <c r="F6" s="123" t="s">
        <v>104</v>
      </c>
      <c r="G6" s="120" t="s">
        <v>105</v>
      </c>
      <c r="H6" s="124"/>
    </row>
    <row r="7" ht="14.4" customHeight="1" spans="1:8" x14ac:dyDescent="0.25">
      <c r="A7" s="104"/>
      <c r="B7" s="105"/>
      <c r="C7" s="105"/>
      <c r="D7" s="128" t="s">
        <v>106</v>
      </c>
      <c r="E7" s="129"/>
      <c r="F7" s="130" t="s">
        <v>107</v>
      </c>
      <c r="G7" s="131">
        <v>20</v>
      </c>
      <c r="H7" s="132" t="s">
        <v>108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109</v>
      </c>
      <c r="B9" s="136" t="s">
        <v>110</v>
      </c>
      <c r="C9" s="136"/>
      <c r="D9" s="136" t="s">
        <v>111</v>
      </c>
      <c r="E9" s="136"/>
      <c r="F9" s="136" t="s">
        <v>112</v>
      </c>
      <c r="G9" s="136"/>
      <c r="H9" s="137" t="s">
        <v>113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104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114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90</v>
      </c>
      <c r="B17" s="146"/>
      <c r="C17" s="146"/>
      <c r="D17" s="146"/>
      <c r="E17" s="146" t="s">
        <v>115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116</v>
      </c>
      <c r="B20" s="146"/>
      <c r="C20" s="148" t="s">
        <v>117</v>
      </c>
      <c r="D20" s="133"/>
      <c r="E20" s="133" t="s">
        <v>116</v>
      </c>
      <c r="F20" s="148" t="s">
        <v>117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94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95</v>
      </c>
      <c r="E25" s="107"/>
      <c r="F25" s="108"/>
      <c r="G25" s="108"/>
      <c r="H25" s="109"/>
    </row>
    <row r="26" ht="14.4" customHeight="1" hidden="1" spans="1:8" x14ac:dyDescent="0.25">
      <c r="A26" s="125" t="s">
        <v>96</v>
      </c>
      <c r="B26" s="119" t="s">
        <v>97</v>
      </c>
      <c r="C26" s="133"/>
      <c r="D26" s="152" t="s">
        <v>98</v>
      </c>
      <c r="E26" s="133" t="s">
        <v>97</v>
      </c>
      <c r="F26" s="146" t="s">
        <v>99</v>
      </c>
      <c r="G26" s="133" t="s">
        <v>97</v>
      </c>
      <c r="H26" s="124"/>
    </row>
    <row r="27" ht="14.4" customHeight="1" hidden="1" spans="1:8" x14ac:dyDescent="0.25">
      <c r="A27" s="125" t="s">
        <v>100</v>
      </c>
      <c r="B27" s="119" t="s">
        <v>97</v>
      </c>
      <c r="C27" s="133"/>
      <c r="D27" s="152" t="s">
        <v>101</v>
      </c>
      <c r="E27" s="133" t="s">
        <v>97</v>
      </c>
      <c r="F27" s="119" t="s">
        <v>102</v>
      </c>
      <c r="G27" s="133" t="s">
        <v>97</v>
      </c>
      <c r="H27" s="124"/>
    </row>
    <row r="28" ht="14.4" customHeight="1" hidden="1" spans="1:8" x14ac:dyDescent="0.25">
      <c r="A28" s="125"/>
      <c r="B28" s="119"/>
      <c r="C28" s="105"/>
      <c r="D28" s="153" t="s">
        <v>103</v>
      </c>
      <c r="E28" s="133" t="s">
        <v>97</v>
      </c>
      <c r="F28" s="119" t="s">
        <v>104</v>
      </c>
      <c r="G28" s="133" t="s">
        <v>97</v>
      </c>
      <c r="H28" s="124"/>
    </row>
    <row r="29" ht="14.4" customHeight="1" hidden="1" spans="1:8" x14ac:dyDescent="0.25">
      <c r="A29" s="104"/>
      <c r="B29" s="105"/>
      <c r="C29" s="105"/>
      <c r="D29" s="154" t="s">
        <v>106</v>
      </c>
      <c r="E29" s="155" t="s">
        <v>97</v>
      </c>
      <c r="F29" s="156" t="s">
        <v>107</v>
      </c>
      <c r="G29" s="156" t="s">
        <v>97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109</v>
      </c>
      <c r="B31" s="136" t="s">
        <v>110</v>
      </c>
      <c r="C31" s="136"/>
      <c r="D31" s="136" t="s">
        <v>111</v>
      </c>
      <c r="E31" s="136"/>
      <c r="F31" s="136" t="s">
        <v>112</v>
      </c>
      <c r="G31" s="136"/>
      <c r="H31" s="137" t="s">
        <v>118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90</v>
      </c>
      <c r="B43" s="146"/>
      <c r="C43" s="146"/>
      <c r="D43" s="146"/>
      <c r="E43" s="146" t="s">
        <v>115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116</v>
      </c>
      <c r="B46" s="146"/>
      <c r="C46" s="148" t="s">
        <v>117</v>
      </c>
      <c r="D46" s="133"/>
      <c r="E46" s="133" t="s">
        <v>116</v>
      </c>
      <c r="F46" s="148" t="s">
        <v>117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