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<sst xmlns="http://schemas.openxmlformats.org/spreadsheetml/2006/main" count="180" uniqueCount="120">
  <si>
    <t>Tanggal produksi</t>
  </si>
  <si>
    <t>Nama Produk</t>
  </si>
  <si>
    <t>ChemX 119266 A</t>
  </si>
  <si>
    <t>Batch No.</t>
  </si>
  <si>
    <t>24.02.25.TANK 6-03</t>
  </si>
  <si>
    <t>BLENDING GUIDE &amp; SPKP</t>
  </si>
  <si>
    <t>No Resep</t>
  </si>
  <si>
    <t>002/BG/MIB/II-24</t>
  </si>
  <si>
    <t>Tank No.</t>
  </si>
  <si>
    <t>TANK 6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</si>
  <si>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</si>
  <si>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</si>
  <si>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</si>
  <si>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</si>
  <si>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</si>
  <si>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</si>
  <si>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</si>
  <si>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</si>
  <si>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</si>
  <si>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</si>
  <si>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</si>
  <si>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</si>
  <si>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</si>
  <si>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</si>
  <si>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</si>
  <si>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</si>
  <si>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</si>
  <si>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</si>
  <si>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</si>
  <si>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</si>
  <si>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</si>
  <si>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</si>
  <si>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</si>
  <si>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</si>
  <si>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</si>
  <si>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</si>
  <si>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</si>
  <si>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</si>
  <si>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</si>
  <si>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</si>
  <si>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</si>
  <si>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</si>
  <si>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</si>
  <si>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</si>
  <si>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</si>
  <si>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</si>
  <si>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</si>
  <si>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</si>
  <si>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</si>
  <si>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</si>
  <si>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</si>
  <si>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</si>
  <si>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</si>
  <si>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</si>
  <si>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</si>
  <si>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</si>
  <si>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</si>
  <si>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</si>
  <si>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</si>
  <si>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</si>
  <si>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</si>
  <si>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</si>
  <si>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</si>
  <si>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</si>
  <si>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</si>
  <si>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</si>
  <si>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</si>
  <si>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</si>
  <si>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</si>
  <si>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</si>
  <si>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</si>
  <si>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</si>
  <si>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</si>
  <si>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</si>
  <si>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</si>
  <si>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</si>
  <si>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</si>
  <si>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</si>
  <si>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</si>
  <si>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</si>
  <si>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TANK 2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</si>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</sst>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 t="s">
        <v>9</v>
      </c>
      <c r="I4" s="16"/>
      <c r="J4" s="17"/>
    </row>
    <row r="5" ht="27.6" customHeight="1" spans="2:10" x14ac:dyDescent="0.25">
      <c r="B5" s="18"/>
      <c r="C5" s="19"/>
      <c r="D5" s="12" t="s">
        <v>10</v>
      </c>
      <c r="E5" s="13"/>
      <c r="F5" s="20" t="s">
        <v>11</v>
      </c>
      <c r="G5" s="21" t="s">
        <v>12</v>
      </c>
      <c r="H5" s="22"/>
      <c r="I5" s="23" t="s">
        <v>13</v>
      </c>
      <c r="J5" s="24" t="s">
        <v>14</v>
      </c>
    </row>
    <row r="6" ht="18.6" customHeight="1" spans="2:10" x14ac:dyDescent="0.25">
      <c r="B6" s="25" t="s">
        <v>15</v>
      </c>
      <c r="C6" s="26"/>
      <c r="D6" s="27" t="s">
        <v>16</v>
      </c>
      <c r="E6" s="28">
        <v>100</v>
      </c>
      <c r="F6" s="29">
        <v>1100</v>
      </c>
      <c r="G6" s="30"/>
      <c r="H6" s="31"/>
      <c r="I6" s="32" t="s">
        <v>17</v>
      </c>
      <c r="J6" s="33" t="s">
        <v>18</v>
      </c>
    </row>
    <row r="7" ht="14.4" customHeight="1" spans="2:10" x14ac:dyDescent="0.25">
      <c r="B7" s="34" t="s">
        <v>19</v>
      </c>
      <c r="C7" s="35"/>
      <c r="D7" s="36" t="s">
        <v>20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21</v>
      </c>
      <c r="C8" s="40" t="s">
        <v>22</v>
      </c>
      <c r="D8" s="41" t="s">
        <v>23</v>
      </c>
      <c r="E8" s="42" t="s">
        <v>24</v>
      </c>
      <c r="F8" s="43" t="s">
        <v>25</v>
      </c>
      <c r="G8" s="36"/>
      <c r="H8" s="44" t="s">
        <v>26</v>
      </c>
      <c r="I8" s="45" t="s">
        <v>27</v>
      </c>
      <c r="J8" s="46" t="s">
        <v>28</v>
      </c>
    </row>
    <row r="9" ht="15.6" customHeight="1" spans="2:10" x14ac:dyDescent="0.25">
      <c r="B9" s="47">
        <v>1</v>
      </c>
      <c r="C9" s="48" t="s">
        <v>29</v>
      </c>
      <c r="D9" s="49"/>
      <c r="E9" s="50">
        <v>68.5</v>
      </c>
      <c r="F9" s="51">
        <f>(E9/100)*$F$6</f>
        <v>137</v>
      </c>
      <c r="G9" s="36" t="s">
        <v>30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31</v>
      </c>
      <c r="D10" s="49"/>
      <c r="E10" s="50">
        <v>16.1</v>
      </c>
      <c r="F10" s="51">
        <f>(E10/100)*$F$6</f>
        <v>32.2</v>
      </c>
      <c r="G10" s="36" t="s">
        <v>30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32</v>
      </c>
      <c r="D11" s="49"/>
      <c r="E11" s="50">
        <v>8</v>
      </c>
      <c r="F11" s="51">
        <f t="shared" ref="F11:F13" si="1">(E11/100)*$F$6</f>
        <v>16</v>
      </c>
      <c r="G11" s="36" t="s">
        <v>30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33</v>
      </c>
      <c r="D12" s="49"/>
      <c r="E12" s="50">
        <v>6</v>
      </c>
      <c r="F12" s="51">
        <f t="shared" si="1"/>
        <v>12</v>
      </c>
      <c r="G12" s="36" t="s">
        <v>30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34</v>
      </c>
      <c r="D13" s="49"/>
      <c r="E13" s="56">
        <v>1.4</v>
      </c>
      <c r="F13" s="51">
        <f t="shared" si="1"/>
        <v>2.8</v>
      </c>
      <c r="G13" s="36" t="s">
        <v>30</v>
      </c>
      <c r="H13" s="57">
        <v>14500</v>
      </c>
      <c r="I13" s="53">
        <f t="shared" si="0"/>
        <v>20300</v>
      </c>
      <c r="J13" s="54" t="s">
        <v>35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36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37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38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39</v>
      </c>
      <c r="D18" s="36"/>
      <c r="E18" s="36"/>
      <c r="F18" s="36" t="s">
        <v>40</v>
      </c>
      <c r="G18" s="36"/>
      <c r="H18" s="36" t="s">
        <v>40</v>
      </c>
      <c r="J18" s="38"/>
    </row>
    <row r="19" ht="13.8" customHeight="1" spans="2:10" x14ac:dyDescent="0.25">
      <c r="B19" s="64">
        <v>3</v>
      </c>
      <c r="C19" s="36" t="s">
        <v>41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42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43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44</v>
      </c>
      <c r="D22" s="36"/>
      <c r="E22" s="36"/>
      <c r="F22" s="36"/>
      <c r="G22" s="36"/>
      <c r="H22" s="36"/>
      <c r="J22" s="38"/>
      <c r="M22" t="s">
        <v>40</v>
      </c>
    </row>
    <row r="23" ht="15.75" customHeight="1" spans="2:10" x14ac:dyDescent="0.25">
      <c r="B23" s="76">
        <v>2</v>
      </c>
      <c r="C23" s="36" t="s">
        <v>45</v>
      </c>
      <c r="J23" s="38"/>
    </row>
    <row r="24" ht="13.8" customHeight="1" spans="2:10" x14ac:dyDescent="0.25">
      <c r="B24" s="64">
        <v>3</v>
      </c>
      <c r="C24" s="36" t="s">
        <v>46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47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48</v>
      </c>
      <c r="D26" s="36"/>
      <c r="E26" s="36"/>
      <c r="F26" s="36"/>
      <c r="G26" s="36" t="s">
        <v>40</v>
      </c>
      <c r="H26" s="36"/>
      <c r="J26" s="38"/>
    </row>
    <row r="27" ht="13.8" customHeight="1" spans="2:10" x14ac:dyDescent="0.25">
      <c r="B27" s="34" t="s">
        <v>49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50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51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52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53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54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55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56</v>
      </c>
      <c r="C34" s="71" t="s">
        <v>57</v>
      </c>
      <c r="D34" s="71"/>
      <c r="E34" s="71" t="s">
        <v>58</v>
      </c>
      <c r="F34" s="71"/>
      <c r="G34" s="71" t="s">
        <v>59</v>
      </c>
      <c r="H34" s="71"/>
      <c r="I34" s="2"/>
      <c r="J34" s="73"/>
    </row>
    <row r="35" ht="13.8" customHeight="1" spans="2:10" x14ac:dyDescent="0.25">
      <c r="B35" s="34"/>
      <c r="C35" s="13" t="s">
        <v>60</v>
      </c>
      <c r="D35" s="13" t="s">
        <v>61</v>
      </c>
      <c r="E35" s="13" t="s">
        <v>62</v>
      </c>
      <c r="F35" s="36"/>
      <c r="G35" s="3" t="s">
        <v>21</v>
      </c>
      <c r="H35" s="80" t="s">
        <v>22</v>
      </c>
      <c r="I35" s="81" t="s">
        <v>63</v>
      </c>
      <c r="J35" s="38"/>
    </row>
    <row r="36" ht="13.8" customHeight="1" spans="2:10" x14ac:dyDescent="0.25">
      <c r="B36" s="64">
        <v>1</v>
      </c>
      <c r="C36" s="13" t="s">
        <v>64</v>
      </c>
      <c r="D36" s="13" t="s">
        <v>65</v>
      </c>
      <c r="E36" s="13"/>
      <c r="F36" s="36"/>
      <c r="G36" s="82">
        <v>1</v>
      </c>
      <c r="H36" s="13" t="s">
        <v>31</v>
      </c>
      <c r="I36" s="24"/>
      <c r="J36" s="38"/>
    </row>
    <row r="37" ht="13.8" customHeight="1" spans="2:10" x14ac:dyDescent="0.25">
      <c r="B37" s="64">
        <v>2</v>
      </c>
      <c r="C37" s="13" t="s">
        <v>66</v>
      </c>
      <c r="D37" s="13" t="s">
        <v>67</v>
      </c>
      <c r="E37" s="13"/>
      <c r="F37" s="36"/>
      <c r="G37" s="82">
        <v>2</v>
      </c>
      <c r="H37" s="13" t="s">
        <v>32</v>
      </c>
      <c r="I37" s="24"/>
      <c r="J37" s="38"/>
    </row>
    <row r="38" ht="13.8" customHeight="1" spans="2:10" x14ac:dyDescent="0.25">
      <c r="B38" s="64">
        <v>3</v>
      </c>
      <c r="C38" s="13" t="s">
        <v>68</v>
      </c>
      <c r="D38" s="13" t="s">
        <v>69</v>
      </c>
      <c r="E38" s="13"/>
      <c r="F38" s="36"/>
      <c r="G38" s="82">
        <v>3</v>
      </c>
      <c r="H38" s="13" t="s">
        <v>33</v>
      </c>
      <c r="I38" s="24"/>
      <c r="J38" s="38"/>
    </row>
    <row r="39" ht="13.8" customHeight="1" spans="2:10" x14ac:dyDescent="0.25">
      <c r="B39" s="64">
        <v>4</v>
      </c>
      <c r="C39" s="13" t="s">
        <v>70</v>
      </c>
      <c r="D39" s="13"/>
      <c r="E39" s="13"/>
      <c r="F39" s="36"/>
      <c r="G39" s="83">
        <v>4</v>
      </c>
      <c r="H39" s="13" t="s">
        <v>34</v>
      </c>
      <c r="I39" s="84"/>
      <c r="J39" s="38"/>
    </row>
    <row r="40" ht="13.8" customHeight="1" spans="2:10" x14ac:dyDescent="0.25">
      <c r="B40" s="64">
        <v>5</v>
      </c>
      <c r="C40" s="85" t="s">
        <v>71</v>
      </c>
      <c r="D40" s="86" t="s">
        <v>72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73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74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75</v>
      </c>
      <c r="D44" s="91" t="s">
        <v>76</v>
      </c>
      <c r="E44" s="36" t="s">
        <v>77</v>
      </c>
      <c r="F44" s="91" t="s">
        <v>76</v>
      </c>
      <c r="G44" s="36"/>
      <c r="H44" s="36"/>
      <c r="J44" s="38"/>
    </row>
    <row r="45" ht="14.4" customHeight="1" spans="2:10" x14ac:dyDescent="0.25">
      <c r="B45" s="64"/>
      <c r="C45" s="36" t="s">
        <v>78</v>
      </c>
      <c r="D45" s="91" t="s">
        <v>76</v>
      </c>
      <c r="E45" s="36" t="s">
        <v>79</v>
      </c>
      <c r="F45" s="91" t="s">
        <v>80</v>
      </c>
      <c r="G45" s="36"/>
      <c r="H45" s="36"/>
      <c r="J45" s="38"/>
    </row>
    <row r="46" ht="14.4" customHeight="1" spans="2:10" x14ac:dyDescent="0.25">
      <c r="B46" s="64"/>
      <c r="C46" s="36" t="s">
        <v>81</v>
      </c>
      <c r="D46" s="91" t="s">
        <v>76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82</v>
      </c>
      <c r="J47" s="38"/>
    </row>
    <row r="48" ht="14.4" customHeight="1" spans="2:10" x14ac:dyDescent="0.25">
      <c r="B48" s="88">
        <v>1</v>
      </c>
      <c r="C48" s="77" t="s">
        <v>83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84</v>
      </c>
      <c r="C49" s="71"/>
      <c r="D49" s="2"/>
      <c r="E49" s="73"/>
      <c r="F49" s="70" t="s">
        <v>85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86</v>
      </c>
      <c r="J51" s="38"/>
    </row>
    <row r="52" ht="13.8" customHeight="1" spans="2:10" x14ac:dyDescent="0.25">
      <c r="B52" s="92"/>
      <c r="C52" s="36"/>
      <c r="E52" s="38"/>
      <c r="G52" s="36" t="s">
        <v>87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88</v>
      </c>
      <c r="C54" s="94"/>
      <c r="D54" s="94" t="s">
        <v>89</v>
      </c>
      <c r="E54" s="94"/>
      <c r="F54" s="95" t="s">
        <v>90</v>
      </c>
      <c r="G54" s="2"/>
      <c r="H54" s="2"/>
      <c r="I54" s="94" t="s">
        <v>91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92</v>
      </c>
      <c r="C56" s="78"/>
      <c r="D56" s="78" t="s">
        <v>93</v>
      </c>
      <c r="E56" s="78"/>
      <c r="F56" s="97" t="s">
        <v>94</v>
      </c>
      <c r="G56" s="78"/>
      <c r="H56" s="78"/>
      <c r="I56" s="78" t="s">
        <v>93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95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96</v>
      </c>
      <c r="E3" s="107"/>
      <c r="F3" s="108"/>
      <c r="G3" s="108"/>
      <c r="H3" s="109"/>
    </row>
    <row r="4" ht="40.2" customHeight="1" spans="1:8" x14ac:dyDescent="0.25">
      <c r="A4" s="110" t="s">
        <v>97</v>
      </c>
      <c r="B4" s="111" t="s">
        <v>98</v>
      </c>
      <c r="C4" s="112">
        <f>'BG_ChemX 119266 A'!F7</f>
        <v>45677</v>
      </c>
      <c r="D4" s="113" t="s">
        <v>99</v>
      </c>
      <c r="E4" s="114" t="str">
        <f>'BG_ChemX 119266 A'!F5</f>
        <v>ITS - 428Wn/ITS-PO/I/2025</v>
      </c>
      <c r="F4" s="115" t="s">
        <v>100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101</v>
      </c>
      <c r="B5" s="119" t="s">
        <v>98</v>
      </c>
      <c r="C5" s="120" t="s">
        <v>91</v>
      </c>
      <c r="D5" s="121" t="s">
        <v>102</v>
      </c>
      <c r="E5" s="122"/>
      <c r="F5" s="123" t="s">
        <v>103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104</v>
      </c>
      <c r="E6" s="127"/>
      <c r="F6" s="123" t="s">
        <v>105</v>
      </c>
      <c r="G6" s="120" t="s">
        <v>106</v>
      </c>
      <c r="H6" s="124"/>
    </row>
    <row r="7" ht="14.4" customHeight="1" spans="1:8" x14ac:dyDescent="0.25">
      <c r="A7" s="104"/>
      <c r="B7" s="105"/>
      <c r="C7" s="105"/>
      <c r="D7" s="128" t="s">
        <v>107</v>
      </c>
      <c r="E7" s="129"/>
      <c r="F7" s="130" t="s">
        <v>108</v>
      </c>
      <c r="G7" s="131">
        <v>20</v>
      </c>
      <c r="H7" s="132" t="s">
        <v>109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110</v>
      </c>
      <c r="B9" s="136" t="s">
        <v>111</v>
      </c>
      <c r="C9" s="136"/>
      <c r="D9" s="136" t="s">
        <v>112</v>
      </c>
      <c r="E9" s="136"/>
      <c r="F9" s="136" t="s">
        <v>113</v>
      </c>
      <c r="G9" s="136"/>
      <c r="H9" s="137" t="s">
        <v>114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30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30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30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30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30</v>
      </c>
    </row>
    <row r="15" ht="14.4" customHeight="1" spans="1:8" x14ac:dyDescent="0.25">
      <c r="A15" s="138">
        <v>6</v>
      </c>
      <c r="B15" s="136" t="s">
        <v>105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115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91</v>
      </c>
      <c r="B17" s="146"/>
      <c r="C17" s="146"/>
      <c r="D17" s="146"/>
      <c r="E17" s="146" t="s">
        <v>116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117</v>
      </c>
      <c r="B20" s="146"/>
      <c r="C20" s="148" t="s">
        <v>118</v>
      </c>
      <c r="D20" s="133"/>
      <c r="E20" s="133" t="s">
        <v>117</v>
      </c>
      <c r="F20" s="148" t="s">
        <v>118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95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96</v>
      </c>
      <c r="E25" s="107"/>
      <c r="F25" s="108"/>
      <c r="G25" s="108"/>
      <c r="H25" s="109"/>
    </row>
    <row r="26" ht="14.4" customHeight="1" hidden="1" spans="1:8" x14ac:dyDescent="0.25">
      <c r="A26" s="125" t="s">
        <v>97</v>
      </c>
      <c r="B26" s="119" t="s">
        <v>98</v>
      </c>
      <c r="C26" s="133"/>
      <c r="D26" s="152" t="s">
        <v>99</v>
      </c>
      <c r="E26" s="133" t="s">
        <v>98</v>
      </c>
      <c r="F26" s="146" t="s">
        <v>100</v>
      </c>
      <c r="G26" s="133" t="s">
        <v>98</v>
      </c>
      <c r="H26" s="124"/>
    </row>
    <row r="27" ht="14.4" customHeight="1" hidden="1" spans="1:8" x14ac:dyDescent="0.25">
      <c r="A27" s="125" t="s">
        <v>101</v>
      </c>
      <c r="B27" s="119" t="s">
        <v>98</v>
      </c>
      <c r="C27" s="133"/>
      <c r="D27" s="152" t="s">
        <v>102</v>
      </c>
      <c r="E27" s="133" t="s">
        <v>98</v>
      </c>
      <c r="F27" s="119" t="s">
        <v>103</v>
      </c>
      <c r="G27" s="133" t="s">
        <v>98</v>
      </c>
      <c r="H27" s="124"/>
    </row>
    <row r="28" ht="14.4" customHeight="1" hidden="1" spans="1:8" x14ac:dyDescent="0.25">
      <c r="A28" s="125"/>
      <c r="B28" s="119"/>
      <c r="C28" s="105"/>
      <c r="D28" s="153" t="s">
        <v>104</v>
      </c>
      <c r="E28" s="133" t="s">
        <v>98</v>
      </c>
      <c r="F28" s="119" t="s">
        <v>105</v>
      </c>
      <c r="G28" s="133" t="s">
        <v>98</v>
      </c>
      <c r="H28" s="124"/>
    </row>
    <row r="29" ht="14.4" customHeight="1" hidden="1" spans="1:8" x14ac:dyDescent="0.25">
      <c r="A29" s="104"/>
      <c r="B29" s="105"/>
      <c r="C29" s="105"/>
      <c r="D29" s="154" t="s">
        <v>107</v>
      </c>
      <c r="E29" s="155" t="s">
        <v>98</v>
      </c>
      <c r="F29" s="156" t="s">
        <v>108</v>
      </c>
      <c r="G29" s="156" t="s">
        <v>98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110</v>
      </c>
      <c r="B31" s="136" t="s">
        <v>111</v>
      </c>
      <c r="C31" s="136"/>
      <c r="D31" s="136" t="s">
        <v>112</v>
      </c>
      <c r="E31" s="136"/>
      <c r="F31" s="136" t="s">
        <v>113</v>
      </c>
      <c r="G31" s="136"/>
      <c r="H31" s="137" t="s">
        <v>119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91</v>
      </c>
      <c r="B43" s="146"/>
      <c r="C43" s="146"/>
      <c r="D43" s="146"/>
      <c r="E43" s="146" t="s">
        <v>116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117</v>
      </c>
      <c r="B46" s="146"/>
      <c r="C46" s="148" t="s">
        <v>118</v>
      </c>
      <c r="D46" s="133"/>
      <c r="E46" s="133" t="s">
        <v>117</v>
      </c>
      <c r="F46" s="148" t="s">
        <v>118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